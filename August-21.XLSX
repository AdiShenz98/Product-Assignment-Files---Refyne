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ish\Desktop\Refyn\"/>
    </mc:Choice>
  </mc:AlternateContent>
  <xr:revisionPtr revIDLastSave="0" documentId="13_ncr:1_{D127B8FF-2C70-424D-9795-EA720CBEABE0}" xr6:coauthVersionLast="47" xr6:coauthVersionMax="47" xr10:uidLastSave="{00000000-0000-0000-0000-000000000000}"/>
  <bookViews>
    <workbookView xWindow="-15468" yWindow="-1488" windowWidth="15576" windowHeight="11784" activeTab="3" xr2:uid="{00000000-000D-0000-FFFF-FFFF00000000}"/>
  </bookViews>
  <sheets>
    <sheet name="NEFT" sheetId="1" r:id="rId1"/>
    <sheet name="RTGS" sheetId="2" r:id="rId2"/>
    <sheet name="Mobile" sheetId="4" r:id="rId3"/>
    <sheet name="Aug'21 Analysis" sheetId="6" r:id="rId4"/>
  </sheets>
  <definedNames>
    <definedName name="_xlnm._FilterDatabase" localSheetId="2" hidden="1">Mobile!$A$1:$C$425</definedName>
    <definedName name="_xlnm._FilterDatabase" localSheetId="0" hidden="1">NEFT!$B$1:$E$225</definedName>
    <definedName name="_xlnm._FilterDatabase" localSheetId="1" hidden="1">'RTGS'!$A$1:$E$238</definedName>
  </definedNames>
  <calcPr calcId="191029"/>
  <pivotCaches>
    <pivotCache cacheId="9" r:id="rId5"/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E5" i="6"/>
  <c r="A19" i="6"/>
  <c r="A14" i="6"/>
  <c r="E4" i="6"/>
  <c r="E3" i="6"/>
</calcChain>
</file>

<file path=xl/sharedStrings.xml><?xml version="1.0" encoding="utf-8"?>
<sst xmlns="http://schemas.openxmlformats.org/spreadsheetml/2006/main" count="917" uniqueCount="853">
  <si>
    <t>ABHYUDAYA CO-OP BANK LTD</t>
  </si>
  <si>
    <t>AHMEDABAD MERCANTILE COOP BANK</t>
  </si>
  <si>
    <t>AHMEDNAGAR MERCHANTS CO-OP BANK LTD</t>
  </si>
  <si>
    <t>AIRTEL PAYMENTS BANK LIMITED</t>
  </si>
  <si>
    <t>AKOLA DISTRICT CENTRAL CO-OP BANK</t>
  </si>
  <si>
    <t>ALMORA URBAN CO-OPERATIVE BANK LTD</t>
  </si>
  <si>
    <t>AMBARNATH JAI HIND CO -OP BANK LTD</t>
  </si>
  <si>
    <t>ANDHRA BANK</t>
  </si>
  <si>
    <t>ANDHRA PRAGATHI GRAMEENA BANK</t>
  </si>
  <si>
    <t>ANZ Banking Group Limited</t>
  </si>
  <si>
    <t>APNA SAHAKARI BANKLTD</t>
  </si>
  <si>
    <t>ARVIND SAHAKARI BANK LTD</t>
  </si>
  <si>
    <t>AU SMALL FINANCE BANK LIMITED</t>
  </si>
  <si>
    <t>AXIS BANK</t>
  </si>
  <si>
    <t>Akola Janata Commercial Co-Op Bank</t>
  </si>
  <si>
    <t>Andhra Pradesh Grameen Vikas Bank</t>
  </si>
  <si>
    <t>B N PARIBAS</t>
  </si>
  <si>
    <t>BANASKANTHA MERCANTILE CO-OP BANK</t>
  </si>
  <si>
    <t>BANDHAN BANK LIMITED</t>
  </si>
  <si>
    <t>BANK INTERNASIONAL INDONESIA</t>
  </si>
  <si>
    <t>BANK OF AMERICA</t>
  </si>
  <si>
    <t>BANK OF BAHARIEN AND KUWAIT</t>
  </si>
  <si>
    <t>BANK OF BARODA</t>
  </si>
  <si>
    <t>BANK OF CEYLON</t>
  </si>
  <si>
    <t>BANK OF INDIA</t>
  </si>
  <si>
    <t>BANK OF MAHARASHTRA</t>
  </si>
  <si>
    <t>BANK OF NOVA SCOTIA</t>
  </si>
  <si>
    <t>BANK OF TOKYO AND MITSUBISHI</t>
  </si>
  <si>
    <t>BARCLAYS BANK</t>
  </si>
  <si>
    <t>BASSEIN CATHOLIC CO-OP BANK LTD</t>
  </si>
  <si>
    <t>BHAGINI NIVEDITA SAHAKARI BANK LTD</t>
  </si>
  <si>
    <t>BHARAT CO-OP BANK LTD</t>
  </si>
  <si>
    <t>BOMBAY MERCANTILE CO-OPERATIVE BANK</t>
  </si>
  <si>
    <t>CANARA BANK</t>
  </si>
  <si>
    <t>CAPITAL SMALL FINANCE BANK LTD</t>
  </si>
  <si>
    <t>CATHOLIC SYRIAN BANK LTD.</t>
  </si>
  <si>
    <t>CENTRAL BANK OF INDIA</t>
  </si>
  <si>
    <t>CITI BANK</t>
  </si>
  <si>
    <t>CITIZEN CREDIT COOPERATIVE BANK LTD</t>
  </si>
  <si>
    <t>CITY UNION BANK LTD</t>
  </si>
  <si>
    <t>COASTAL LOCAL AREA BANK</t>
  </si>
  <si>
    <t>CORPORATION BANK</t>
  </si>
  <si>
    <t>COSMOS COOPERATIVE BANK</t>
  </si>
  <si>
    <t>CREDIT AGRICOLE CORP N INVSMNT BANK</t>
  </si>
  <si>
    <t>CREDIT SUISSE AG</t>
  </si>
  <si>
    <t>CTBC BANK CO LTD</t>
  </si>
  <si>
    <t>DCB BANK LIMITED</t>
  </si>
  <si>
    <t>DELHI STATE CO OP BANK LTD</t>
  </si>
  <si>
    <t>DEOGIRI NAGARI SAHAKARI BANK LTD</t>
  </si>
  <si>
    <t>DEUSTCHE BANK</t>
  </si>
  <si>
    <t>DEVELOPMENT BANK OF SINGAPORE</t>
  </si>
  <si>
    <t>DHANLAXMI BANK LTD</t>
  </si>
  <si>
    <t>DICGC</t>
  </si>
  <si>
    <t>DMK JAOLI BANK LTD</t>
  </si>
  <si>
    <t>DOHA BANK QSC</t>
  </si>
  <si>
    <t>DOMBIVLI NAGRIK SAHAKARI BANK</t>
  </si>
  <si>
    <t>Durgapur Steel Peoples Coop Bank Lt</t>
  </si>
  <si>
    <t>EMIRATES NBD BANK PJSC</t>
  </si>
  <si>
    <t>EQUITAS SMALL FINANCE BANK LIMITED</t>
  </si>
  <si>
    <t>ESAF SMALL FINANCE BANK LTD</t>
  </si>
  <si>
    <t>EXPORT IMPORT BANK OF INDIA</t>
  </si>
  <si>
    <t>FEDERAL BANK</t>
  </si>
  <si>
    <t>FINCARE SMALL FINANCE BANK LTD</t>
  </si>
  <si>
    <t>FINO PAYMENTS BANK LIMITED</t>
  </si>
  <si>
    <t>FIRSTRAND BANK</t>
  </si>
  <si>
    <t>GOPINATH PATIL PARSIK JAN SAHA BANK</t>
  </si>
  <si>
    <t>GREATER BOMBAY CO-OP BANK</t>
  </si>
  <si>
    <t>HDFC BANK</t>
  </si>
  <si>
    <t>HIMACHAL PRADESH STATE COOPERATIVE</t>
  </si>
  <si>
    <t>HSBC BANK</t>
  </si>
  <si>
    <t>ICICI BANK LTD</t>
  </si>
  <si>
    <t>IDBI BANK</t>
  </si>
  <si>
    <t>IDFC BANK LIMITED</t>
  </si>
  <si>
    <t>IDUKKI DISTRICT COOPERATIVE BANK LT</t>
  </si>
  <si>
    <t>INDIA POST PAYMENTS BANK LIMITED</t>
  </si>
  <si>
    <t>INDIAN BANK</t>
  </si>
  <si>
    <t>INDIAN OVERSEAS BANK</t>
  </si>
  <si>
    <t>INDUSIND BANK</t>
  </si>
  <si>
    <t>INDUSTRIAL AND COM BANK OF CHINA LT</t>
  </si>
  <si>
    <t>INDUSTRIAL BANK OF KOREA</t>
  </si>
  <si>
    <t>Irinjalakuda Town Co-op Bank Ltd</t>
  </si>
  <si>
    <t>JALGAON JANATA SAHKARI BANK LTD</t>
  </si>
  <si>
    <t>JALGAON PEOPLES COOP BANK LTD</t>
  </si>
  <si>
    <t>JAMMU AND KASHMIR BANK LTD</t>
  </si>
  <si>
    <t>JANA SMALL FINANCE BANK LIMITED</t>
  </si>
  <si>
    <t>JANAKALYAN SAHAKARI BANK LTD</t>
  </si>
  <si>
    <t>JANATA SAHAKARI BANK LTD</t>
  </si>
  <si>
    <t>JANATHA SEVA CO-OPERATIVE BANK LTD</t>
  </si>
  <si>
    <t>JANSEVA SAHAKARI BANK BORIVILI LTD</t>
  </si>
  <si>
    <t>JANSEVA SAHAKARI BANK PUNE</t>
  </si>
  <si>
    <t>JP MORGAN BANK</t>
  </si>
  <si>
    <t>Jio Payments Bank Limited</t>
  </si>
  <si>
    <t>KALLAPPANNA AWADE IJSB LTD</t>
  </si>
  <si>
    <t>KALUPUR COMM COOPERATIVE BANK</t>
  </si>
  <si>
    <t>KALYAN JANATA SAHAKARI BANK</t>
  </si>
  <si>
    <t>KARAD URBAN CO-OP BANK LTD</t>
  </si>
  <si>
    <t>KARNATAKA BANK LTD</t>
  </si>
  <si>
    <t>KARNATAKA STATE COOP APEX BANK</t>
  </si>
  <si>
    <t>KARNATAKA VIKAS GRAMEEN BANK</t>
  </si>
  <si>
    <t>KARUR VYSYA BANK</t>
  </si>
  <si>
    <t>KOLHAPUR URBAN COOPERATIVE BANK LTD</t>
  </si>
  <si>
    <t>KOOKMIN BANK</t>
  </si>
  <si>
    <t>KOREA EXCHANGE BANK</t>
  </si>
  <si>
    <t>KOTAK MAHINDRA BANK LTD</t>
  </si>
  <si>
    <t>KURMANCHAL NAGAR SAHAKARI BANK</t>
  </si>
  <si>
    <t>Karnataka Gramin Bank</t>
  </si>
  <si>
    <t>Kerala Gramin Bank</t>
  </si>
  <si>
    <t>Kozhikode District Coop Bank Ltd.</t>
  </si>
  <si>
    <t>Krung Thai Bank PCL</t>
  </si>
  <si>
    <t>LAKSHMI VILAS BANK LTD</t>
  </si>
  <si>
    <t>MAHANAGAR COOP BANK LTD</t>
  </si>
  <si>
    <t>MAHARASHTRA GRAMIN BANK</t>
  </si>
  <si>
    <t>MAHARASHTRA STATE CO-OP BANK LTD</t>
  </si>
  <si>
    <t>MAHESH SAHAKARI BANK LTD ,PUNE</t>
  </si>
  <si>
    <t>MASHREQ BANK</t>
  </si>
  <si>
    <t>MEHSANA URBAN COOPERATIVE BANK LTD</t>
  </si>
  <si>
    <t>MIZUHO CORPORATE BANK LTD</t>
  </si>
  <si>
    <t>MODEL CO-OPERATIVE BANK LTD</t>
  </si>
  <si>
    <t>MUMBAI DISTRICT CENTRAL CO-OP. BANK</t>
  </si>
  <si>
    <t>MUNICIPAL COOP BANK LTD</t>
  </si>
  <si>
    <t>NABARD</t>
  </si>
  <si>
    <t>NAGAR URBAN COOP BANK LTD</t>
  </si>
  <si>
    <t>NAGPUR NAGRIK SAHAKARI BANK LTD</t>
  </si>
  <si>
    <t>NAINITAL BANK LTD</t>
  </si>
  <si>
    <t>NATIONAL BANK OF ABU DHABI PJSC</t>
  </si>
  <si>
    <t>NAV JEEVAN CO-OP BANK LTD</t>
  </si>
  <si>
    <t>NEW INDIA CO-OP BANK</t>
  </si>
  <si>
    <t>NILAMBUR CO-OPERATIVE URBAN BANK</t>
  </si>
  <si>
    <t>NKGSB BANK</t>
  </si>
  <si>
    <t>NORTH EAST SMALL FINANCE BANK LTD</t>
  </si>
  <si>
    <t>NSDL PAYMENTS BANK LIMITED</t>
  </si>
  <si>
    <t>NUTAN NAGARIK SAHAKARI BANK LTD</t>
  </si>
  <si>
    <t>ODISHA STATE CO-OP BANK LTD</t>
  </si>
  <si>
    <t>PRIME CO-OP BANK LTD. SURAT</t>
  </si>
  <si>
    <t>PUNJAB AND SIND BANK</t>
  </si>
  <si>
    <t>PUNJAB NATIONAL BANK</t>
  </si>
  <si>
    <t>PUNJAB STATE COOPERATIVE BANK</t>
  </si>
  <si>
    <t>PUSAD URBAN COOPERATIVE BANK LTD</t>
  </si>
  <si>
    <t>Paytm Payments Bank Limited</t>
  </si>
  <si>
    <t>QATAR NATIONAL BANK QPSC</t>
  </si>
  <si>
    <t>RABOBANK INTERNATIONAL</t>
  </si>
  <si>
    <t>RAJARAMBAPU SAHAKARI BANK LTD</t>
  </si>
  <si>
    <t>RAJARSHI SHAHU SAHAKARI BANK</t>
  </si>
  <si>
    <t>RAJASTHAN MARUDHARA GRAMIN BANK</t>
  </si>
  <si>
    <t>RAJGURUNAGAR SAHAKARI BANK LTD</t>
  </si>
  <si>
    <t>RAJKOT NAGARIK SAHAKARI BANK LTD</t>
  </si>
  <si>
    <t>RAJNANDGAON DCC BANK</t>
  </si>
  <si>
    <t>RBI,PAD</t>
  </si>
  <si>
    <t>RBL BANK LTD</t>
  </si>
  <si>
    <t>SAMARTH SAHAKARI BANK LTD SOLAPUR</t>
  </si>
  <si>
    <t>SANT SOPANKAKA SAHAKARI BANK LTD</t>
  </si>
  <si>
    <t>SARASPUR NAGRIK CO OPERATIVE BANK</t>
  </si>
  <si>
    <t>SARASWAT CO-OP BANK LTD.</t>
  </si>
  <si>
    <t>SATARA SAHAKARI BANK LTD</t>
  </si>
  <si>
    <t>SBER BANK</t>
  </si>
  <si>
    <t>SBM BANK INDIA LIMITED</t>
  </si>
  <si>
    <t>SEVA VIKAS COOPERATIVE BANK LTD</t>
  </si>
  <si>
    <t>SHAMRAO VITHAL CO-OP BANK LTD</t>
  </si>
  <si>
    <t>SHIKSHAK SAHAKARI BANK LTD</t>
  </si>
  <si>
    <t>SHINHAN BANK</t>
  </si>
  <si>
    <t>SHIVALIK MERCANTILE CO-OP BANK</t>
  </si>
  <si>
    <t>SHRI CHHATRAPATI SHAHU URBAN COOP B</t>
  </si>
  <si>
    <t>SIR M. VISVESWARAYA CO-OP BANK LTD.</t>
  </si>
  <si>
    <t>SOCIETE GENERALE</t>
  </si>
  <si>
    <t>SOLAPUR JANATA SAHAKARI BANK LTD</t>
  </si>
  <si>
    <t>SOUTH INDIAN BANK</t>
  </si>
  <si>
    <t>SREE CHARAN SOUHARDHA CO-OPERATIVE</t>
  </si>
  <si>
    <t>STANDARD CHARTERED BANK</t>
  </si>
  <si>
    <t>STATE BANK OF INDIA</t>
  </si>
  <si>
    <t>SUCO SOUHARDA SAHAKARI BANK</t>
  </si>
  <si>
    <t>SUMITOMO MITSUI BANKING CORPORATION</t>
  </si>
  <si>
    <t>SURAT DISTRICT COOPERATIVE BANK Ltd</t>
  </si>
  <si>
    <t>SURAT NATIONAL CO-OP BANK LTD</t>
  </si>
  <si>
    <t>SURAT PEOPLES COOPERATIVE BANK</t>
  </si>
  <si>
    <t>SURYODAY SMALL FINANCE BANK LTD</t>
  </si>
  <si>
    <t>SUTEX COOP BANK</t>
  </si>
  <si>
    <t>Shri Veershaiv co-op bank ltd</t>
  </si>
  <si>
    <t>Sindhudurg DCCB LTD</t>
  </si>
  <si>
    <t>TAMIL NADU STATE APEX COOP BANK</t>
  </si>
  <si>
    <t>TAMILNADU MERCANTILE BANK</t>
  </si>
  <si>
    <t>TELANGANA STATE COOP APEX BANK LTD</t>
  </si>
  <si>
    <t>TEXTILE TRADERS COOPERATIVE BANK LT</t>
  </si>
  <si>
    <t>THANE BHARAT SAHAKARI BANK LTD</t>
  </si>
  <si>
    <t>THANE DISTRICT CENTRAL COOP BANK LT</t>
  </si>
  <si>
    <t>THANE JANATA SAHAKARI BANK LTD</t>
  </si>
  <si>
    <t>THE A. P. MAHESH URBAN CO-OP BANK L</t>
  </si>
  <si>
    <t>THE AJARA URBAN CO-OP BANK LTD</t>
  </si>
  <si>
    <t>THE AP STATE COOP BANK LTD</t>
  </si>
  <si>
    <t>THE BARAMATI SAHAKARI BANK LTD</t>
  </si>
  <si>
    <t>THE GUJARAT STATE CO-OP BANK LTD</t>
  </si>
  <si>
    <t>THE HARYANA STATE CO-OP APEX BANK</t>
  </si>
  <si>
    <t>THE HASTI CO-OP. BANK LTD.</t>
  </si>
  <si>
    <t>THE KANGRA CENTRAL COOP BANK LTD</t>
  </si>
  <si>
    <t>THE KANGRA CO OPERATIVE BANK LTD</t>
  </si>
  <si>
    <t>THE KERALA STATE CO-OP BANK</t>
  </si>
  <si>
    <t>THE MALKAPUR URBAN CO OP BANK LTD</t>
  </si>
  <si>
    <t>THE NASIK MERCHANTS CO-OP BANK LTD.</t>
  </si>
  <si>
    <t>THE NAVNIRMAN COOPERATIVE BANK LTD</t>
  </si>
  <si>
    <t>THE NAWANAGAR CO-OPERATIVE BANK LTD</t>
  </si>
  <si>
    <t>THE PANDHARPUR URBAN CO-OP BANK</t>
  </si>
  <si>
    <t>THE RAJASTHAN ST. COOP. BANK LTD</t>
  </si>
  <si>
    <t>THE SAHEBRAO DESHMUKH COOP BANK LTD</t>
  </si>
  <si>
    <t>THE UDAIPUR URBAN CO-OPERATIVE BANK</t>
  </si>
  <si>
    <t>THE URBAN CO-OP BANK LTD NO 1758</t>
  </si>
  <si>
    <t>THE VARACHHA CO-OP. BANK LTD</t>
  </si>
  <si>
    <t>THE VIJAY CO OP BANK LTD</t>
  </si>
  <si>
    <t>THE VISHWESHWAR SAHAKARI BANK LTD</t>
  </si>
  <si>
    <t>THE ZOROASTRIAN CO-OP BANK LTD</t>
  </si>
  <si>
    <t>TUMKUR GRAIN MERCHANTS COOP BANK</t>
  </si>
  <si>
    <t>The Gadchiroli Dist Co-Op Bank</t>
  </si>
  <si>
    <t>The Muslim Co-operative Bank Ltd.</t>
  </si>
  <si>
    <t>Thrissur District Cooperative Bank</t>
  </si>
  <si>
    <t>UCO BANK</t>
  </si>
  <si>
    <t>UJJIVAN SMALL FINANCE BANK LTD.</t>
  </si>
  <si>
    <t>UNION BANK OF INDIA</t>
  </si>
  <si>
    <t>UNITED OVERSEAS BANK LTD</t>
  </si>
  <si>
    <t>UTKARSH SMALL FINANCE BANK LTD</t>
  </si>
  <si>
    <t>UTTAR PRADESH CO_OP BANK LTD</t>
  </si>
  <si>
    <t>VASAI VIKAS SAHAKARI BANK LTD</t>
  </si>
  <si>
    <t>Vasai Janata Sahakari Bank</t>
  </si>
  <si>
    <t>WEST BENGAL STATE COOPERATIVE BANK</t>
  </si>
  <si>
    <t>WOORI BANK</t>
  </si>
  <si>
    <t>YES BANK</t>
  </si>
  <si>
    <t>ZILA SAHKARI BANK LTD GHAZIABAD</t>
  </si>
  <si>
    <t>NO. OF OUTWARD TRANSACTIONS</t>
  </si>
  <si>
    <t>NO. OF INWARD TRANSACTIONS</t>
  </si>
  <si>
    <t>ABHYUDAYA CO-OPERATIVE BANK LTD</t>
  </si>
  <si>
    <t>AHMEDNAGAR MERCHANT'S CO-OP. BANK LTD. AHMEDNAGAR</t>
  </si>
  <si>
    <t>AIRTEL PAYMENTS BANK LTD.</t>
  </si>
  <si>
    <t>ALMORA URBAN CO-OPERATIVE BANK LTD.</t>
  </si>
  <si>
    <t>AMBARNATH JAI-HIND CO-OP. BANK LTD.</t>
  </si>
  <si>
    <t>ANDHRA PRADESH GRAMEENA VIKAS BANK</t>
  </si>
  <si>
    <t>ANDHRA PRADESH STATE CO-OPERATIVE BANK LTD.</t>
  </si>
  <si>
    <t>APNA SAHAKARI BANK LTD.</t>
  </si>
  <si>
    <t>ARVIND SAHAKARI BANK LTD.</t>
  </si>
  <si>
    <t>AUSTRALIA AND NEW ZEALAND BANKING GROUP LIMITED</t>
  </si>
  <si>
    <t>BANK OF AMERICA NA</t>
  </si>
  <si>
    <t>BANK OF BAHRAIN &amp; KUWAIT B S C</t>
  </si>
  <si>
    <t>BARCLAYS BANK PLC</t>
  </si>
  <si>
    <t>BASSEIN CATHOLIC CO-OPERATIVE BANK LTD.</t>
  </si>
  <si>
    <t>BHAGINI NIVEDITA SAHAKARI BANK LTD, PUNE</t>
  </si>
  <si>
    <t>BNP PARIBAS</t>
  </si>
  <si>
    <t>BOMBAY MERCANTILE CO-OPERATIVE BANK LTD.</t>
  </si>
  <si>
    <t xml:space="preserve">CANARA BANK </t>
  </si>
  <si>
    <t>CAPITAL SMALL FINANCE BANK LIMITED</t>
  </si>
  <si>
    <t>CATHOLIC SYRIAN BANK LTD</t>
  </si>
  <si>
    <t>CITI BANK N.A.</t>
  </si>
  <si>
    <t>CITIZEN CREDIT CO-OP BANK LTD.</t>
  </si>
  <si>
    <t>CITY UNION BANK</t>
  </si>
  <si>
    <t>COASTAL LOCAL AREA BANK LTD.</t>
  </si>
  <si>
    <t>COOPERATIEVE RABOBANK U.A.</t>
  </si>
  <si>
    <t>CREDIT AGRICOLE CORPORATE AND INVESTMENT BANK</t>
  </si>
  <si>
    <t>CTBC Bank CO., Ltd.</t>
  </si>
  <si>
    <t>DBS BANK INDIA LIMITED</t>
  </si>
  <si>
    <t>DCB BANK LTD.</t>
  </si>
  <si>
    <t>DEOGIRI NAGARI SAHAKARI BANK LTD AURANGABAD</t>
  </si>
  <si>
    <t>DEPOSIT INSURANCE AND CREDIT GUARANTEE CORPORATION</t>
  </si>
  <si>
    <t>DEUTSCHE BANK AG</t>
  </si>
  <si>
    <t>DHANLAXMI BANK LTD.</t>
  </si>
  <si>
    <t>DMK JAOLI SAHAKARI BANK LTD.</t>
  </si>
  <si>
    <t>DOHA BANK</t>
  </si>
  <si>
    <t>DOMBIVLI NAGARI SAHAKARI BANK</t>
  </si>
  <si>
    <t xml:space="preserve">DURGAPUR STEEL PEOPLES' CO-OP BANK LTD </t>
  </si>
  <si>
    <t>EQUITAS SMALL FINANCE BANK LTD.</t>
  </si>
  <si>
    <t>ESAF SMALL FINANCE BANK LTD.</t>
  </si>
  <si>
    <t xml:space="preserve">EXPORT IMPORT BANK OF INDIA </t>
  </si>
  <si>
    <t>FEDERAL BANK LTD.</t>
  </si>
  <si>
    <t>FINCARE SMALL FINANCE BANK LIMITED</t>
  </si>
  <si>
    <t>FIRST ABU DHABI BANK PJSC</t>
  </si>
  <si>
    <t>FIRST RAND BANK LTD</t>
  </si>
  <si>
    <t xml:space="preserve">GOLDMAN SACHS INDIA CAPITAL MARKETS PVT LTD. </t>
  </si>
  <si>
    <t>GP PARSIK SAHAKARI BANK LTD., KALWA, THANE</t>
  </si>
  <si>
    <t>GS MAHANAGAR CO-OPERATIVE BANK LIMITED, MUMBAI</t>
  </si>
  <si>
    <t>HDFC BANK LTD.</t>
  </si>
  <si>
    <t>ICICI BANK LTD.</t>
  </si>
  <si>
    <t>ICICI SECURITIES PRIMARY DEALERSHIP LTD.</t>
  </si>
  <si>
    <t>IDBI BANK LTD.</t>
  </si>
  <si>
    <t>IDFC FIRST Bank Limited</t>
  </si>
  <si>
    <t>Idukki District Cooperative Bank Limited</t>
  </si>
  <si>
    <t xml:space="preserve">INDIAN CLEARING CORPORATION LTD. </t>
  </si>
  <si>
    <t>INDUSIND BANK LTD.</t>
  </si>
  <si>
    <t>INDUSTRIAL AND COMMERCIAL BANK OF CHINA LTD.</t>
  </si>
  <si>
    <t>IRINJALAKUDA TOWN COOPERATIVE BANK LTD</t>
  </si>
  <si>
    <t>JALGAON JANATA SAHAKARI BANK LTD.</t>
  </si>
  <si>
    <t>JANASEVA SAHAKARI BANK (BORIVLI) LTD.</t>
  </si>
  <si>
    <t>JANASEVA SAHAKARI BANK LTD., PUNE</t>
  </si>
  <si>
    <t>JANATA SAHAKARI BANK LTD., PUNE</t>
  </si>
  <si>
    <t xml:space="preserve">JANATHA SEVA CO-OPERATIVE BANK LTD. </t>
  </si>
  <si>
    <t>JANKALYAN SAHAKARI BANK LTD.</t>
  </si>
  <si>
    <t xml:space="preserve">Jila Sahakari Kendriya Bank Maryadit, Rajnandgaon </t>
  </si>
  <si>
    <t>JIO PAYMENTS BANK LIMITED</t>
  </si>
  <si>
    <t>JP MORGAN CHASE BANK</t>
  </si>
  <si>
    <t>KALLAPPANNA AWADE ICHALKARANJI JANATA SAH BANK LTD</t>
  </si>
  <si>
    <t>KARNATAKA GRAMIN BANK</t>
  </si>
  <si>
    <t>KARNATAKA STATE CO-OPERATIVE APEX BANK LTD.</t>
  </si>
  <si>
    <t>KARNATAKA VIKAS GRAMEENA BANK</t>
  </si>
  <si>
    <t>KEB HANA BANK</t>
  </si>
  <si>
    <t>KERALA GRAMIN BANK</t>
  </si>
  <si>
    <t>KOTAK MAHINDRA BANK LTD.</t>
  </si>
  <si>
    <t>KRUNG THAI BANK PLC</t>
  </si>
  <si>
    <t>KURMANCHAL NAGAR SAHAKARI BANK LTD.</t>
  </si>
  <si>
    <t>MAHESH SAHAKARI BANK LIMITED, PUNE</t>
  </si>
  <si>
    <t>MASHREQBANK PSC</t>
  </si>
  <si>
    <t>MEHSANA URBAN CO-OPERATIVE BANK LTD.</t>
  </si>
  <si>
    <t>MIZUHO BANK LTD.</t>
  </si>
  <si>
    <t>MODEL CO-OP. BANK LTD.</t>
  </si>
  <si>
    <t>MORGAN STANLEY INDIA PRIMARY DEALER PVT LTD.</t>
  </si>
  <si>
    <t>MUFG Bank, Ltd.</t>
  </si>
  <si>
    <t>MUMBAI DISTRICT CENTRAL CO-OPERATIVE BANK LTD.</t>
  </si>
  <si>
    <t>NAGAR URBAN COOPERATIVE BANK LTD</t>
  </si>
  <si>
    <t>NAGPUR NAGRIK SAHAKARI BANK LTD.</t>
  </si>
  <si>
    <t>NASIK MERCHANTS CO-OPERATIVE BANK LTD.</t>
  </si>
  <si>
    <t>NATWEST MARKETS PLC</t>
  </si>
  <si>
    <t>NEW INDIA CO-OPERATIVE BANK LTD.</t>
  </si>
  <si>
    <t>NKGSB CO-OPERATIVE BANK LTD.</t>
  </si>
  <si>
    <t>NOMURA FIXED INCOME SECURITIES PVT LTD.</t>
  </si>
  <si>
    <t>NORTH EAST SMALL FINANCE BANK LIMITED</t>
  </si>
  <si>
    <t>NSDL Payments Bank Limited</t>
  </si>
  <si>
    <t>NSE Clearing Limited</t>
  </si>
  <si>
    <t>NUTAN NAGARIK SAHAKARI BANK LTD.</t>
  </si>
  <si>
    <t>ORISSA STATE CO-OPERATIVE BANK LTD.</t>
  </si>
  <si>
    <t>PAYTM PAYMENTS BANK LIMITED</t>
  </si>
  <si>
    <t>PNB GILTS LTD.</t>
  </si>
  <si>
    <t>PRIME CO-OPERATIVE BANK LTD</t>
  </si>
  <si>
    <t>PT BANK MAYBANK INDONESIA TBK</t>
  </si>
  <si>
    <t>QATAR NATIONAL BANK(Q.P.S.C)</t>
  </si>
  <si>
    <t>RAJARSHI SHAHU SAHAKARI BANK LTD, PUNE</t>
  </si>
  <si>
    <t>RAJGURUNAGAR SAHKARI BANK LTD.</t>
  </si>
  <si>
    <t>RAJKOT NAGRIK SAHAKARI BANK LTD.</t>
  </si>
  <si>
    <t>RBL BANK LTD.</t>
  </si>
  <si>
    <t>RESERVE BANK OF INDIA</t>
  </si>
  <si>
    <t>SAMARTH SAHAKARI BANK LTD; SOLAPUR</t>
  </si>
  <si>
    <t>SANT SOPANKAKA SAHAKARI BANK LIMITED, SASWAD</t>
  </si>
  <si>
    <t>SARASPUR NAGARIK COOP BANK LTD</t>
  </si>
  <si>
    <t>SBERBANK</t>
  </si>
  <si>
    <t>SBI DFHI LTD.</t>
  </si>
  <si>
    <t>SBM BANK (INDIA) LIMITED</t>
  </si>
  <si>
    <t>SHIKSHAK SAHAKARI BANK LTD.</t>
  </si>
  <si>
    <t>SHIVALIK SMALL FINANCE BANK LIMITED</t>
  </si>
  <si>
    <t xml:space="preserve">SHRI CHHATRAPATI RAJARSHI SHAHU URBAN CO-OP BANK </t>
  </si>
  <si>
    <t>SHRI VEERSHAIV CO-OP BANK LTD</t>
  </si>
  <si>
    <t>Sindhudurg District Central Cooperative Bank Ltd.</t>
  </si>
  <si>
    <t>SIR M. VISVESVARAYA CO-OPERATIVE BANK LTD.</t>
  </si>
  <si>
    <t>SOLAPUR JANATA SAHAKARI BANK LTD.</t>
  </si>
  <si>
    <t>SREE CHARAN SOUHARDHA CO-OPERATIVE BANK LTD.</t>
  </si>
  <si>
    <t>STCI PRIMARY DEALER LTD.</t>
  </si>
  <si>
    <t>SUCO SOUHARDA SAHAKARI BANK LTD</t>
  </si>
  <si>
    <t>SURAT NATIONAL COOPERATIVE BANK LTD</t>
  </si>
  <si>
    <t>SURYODAY SMALL FINANCE BANK LTD.</t>
  </si>
  <si>
    <t>SVC CO-OPERATIVE BANK LTD.</t>
  </si>
  <si>
    <t>TAMILNAD MERCANTILE BANK LTD.</t>
  </si>
  <si>
    <t>TELANGANA STATE CO OPERATIVE APEX BANK LTD</t>
  </si>
  <si>
    <t>TEXTILE TRADERS CO-OPERATIVE BANK LIMITED</t>
  </si>
  <si>
    <t>THANE BHARAT SHAKARI BANK LTD.</t>
  </si>
  <si>
    <t>THANE DISTRICT CENTRAL CO-OPERATIVE BANK LTD.</t>
  </si>
  <si>
    <t>THE AHMEDABAD MERCANTILE CO-OPERATIVE BANK LTD.</t>
  </si>
  <si>
    <t xml:space="preserve">THE AHMEDNAGAR DISTRICT CENTRAL CO-OPERATIVE BANK </t>
  </si>
  <si>
    <t>THE AJARA URBAN COOP BANK LTD</t>
  </si>
  <si>
    <t>THE AKOLA DISTRICT CENTRAL CO-OPERATIVE BANK LTD.</t>
  </si>
  <si>
    <t>THE AKOLA JANATA COMMERCIAL COOPERATIVE BANK LTD</t>
  </si>
  <si>
    <t>THE A.P. MAHESH CO-OPERATIVE URBAN BANK LTD</t>
  </si>
  <si>
    <t>THE BANASKANTHA MERCANTILE CO-OPERATIVE BANK LTD.</t>
  </si>
  <si>
    <t>THE BANK OF NOVA SCOTIA</t>
  </si>
  <si>
    <t>THE BARAMATI SAHAKARI BANK LIMITED</t>
  </si>
  <si>
    <t>THE BHARAT CO-OPERATIVE BANK (MUMBAI) LTD.</t>
  </si>
  <si>
    <t>THE CLEARING CORPORATION OF INDIA LTD.</t>
  </si>
  <si>
    <t>THE COSMOS CO-OPERATIVE BANK LTD.</t>
  </si>
  <si>
    <t>THE DELHI STATE COOPERATIVE BANK</t>
  </si>
  <si>
    <t>THE GADCHIROLI DISTRICT CENTRAL CO-OP BANK LTD.</t>
  </si>
  <si>
    <t>THE GREATER BOMBAY CO-OPERATIVE BANK LTD.</t>
  </si>
  <si>
    <t>THE GUJARAT STATE CO-OPERATIVE BANK LTD</t>
  </si>
  <si>
    <t>THE HARYANA STATE COOPERATIVE APEX BANK LIMITED</t>
  </si>
  <si>
    <t>THE HASTI CO-OP BANK LTD.</t>
  </si>
  <si>
    <t>THE HIMACHAL PRADESH STATE CO-OPERATIVE BANK LTD.</t>
  </si>
  <si>
    <t>THE HONGKONG AND SHANGHAI BANKING CORPORATION LTD.</t>
  </si>
  <si>
    <t>THE JALGAON PEOPLE CO-OPERATIVE BANK LTD.</t>
  </si>
  <si>
    <t>THE JAMMU AND KASHMIR BANK LTD.</t>
  </si>
  <si>
    <t xml:space="preserve">THE KALUPUR COMMERCIAL CO-OPERATIVE BANK LTD. </t>
  </si>
  <si>
    <t>THE KALYAN JANATA SAHAKARI BANK LTD.</t>
  </si>
  <si>
    <t>THE KANGRA CENTRAL CO-OP BANK LTD., DHARAMSHALA</t>
  </si>
  <si>
    <t>THE KANGRA CO-OPERATIVE BANK LTD.</t>
  </si>
  <si>
    <t>THE KARAD URBAN CO-OPERATIVE BANK LTD., KARAD</t>
  </si>
  <si>
    <t>THE KERALA STATE CO-OPERATIVE BANK LTD.</t>
  </si>
  <si>
    <t>The Kozhikode District Cooperative Bank Limited</t>
  </si>
  <si>
    <t>THE LAKSHMI VILAS BANK LTD.</t>
  </si>
  <si>
    <t>THE MAHARASHTRA STATE CO-OPERATIVE BANK LTD.</t>
  </si>
  <si>
    <t>THE MALKAPUR URBAN CO-OP BANK LTD</t>
  </si>
  <si>
    <t>THE MUNICIPAL CO-OPERATIVE BANK LTD., MUMBAI</t>
  </si>
  <si>
    <t>THE MUSLIM CO-OPERATIVE BANK LTD., PUNE</t>
  </si>
  <si>
    <t>THE NAINITAL BANK LTD.</t>
  </si>
  <si>
    <t>THE NAV JEEVAN CO-OP. BANK LTD.</t>
  </si>
  <si>
    <t>THE NAVNIRMAN CO-OPERATIVE BANK LIMITED</t>
  </si>
  <si>
    <t>THE NAWANAGAR COOPERATIVE BANK LTD.</t>
  </si>
  <si>
    <t>THE PANDHARPUR URBAN COOP BANK LTD</t>
  </si>
  <si>
    <t>THE PUNJAB STATE COOPERATIVE BANK LTD.</t>
  </si>
  <si>
    <t>THE PUSAD URBAN CO-OP BANK LTD</t>
  </si>
  <si>
    <t>THE RAJASTHAN STATE CO-OPERATIVE BANK LTD.</t>
  </si>
  <si>
    <t>THE SAHEBRAO DESHMUKH CO-OPERATIVE BANK LTD.</t>
  </si>
  <si>
    <t>THE SARASWAT CO-OPERATIVE BANK LTD.</t>
  </si>
  <si>
    <t>THE SATARA DISTRICT CENTRAL CO-OPERATIVE BANK LTD</t>
  </si>
  <si>
    <t>THE SATARA SAHAKARI BANK LIMITED</t>
  </si>
  <si>
    <t>THE SEVA VIKAS CO-OPERATIVE BANK LTD.</t>
  </si>
  <si>
    <t>THE SURAT DISTRICT CO-OPERATIVE BANK LTD.</t>
  </si>
  <si>
    <t>THE SURAT PEOPLE'S CO-OPERATIVE BANK LTD.</t>
  </si>
  <si>
    <t>THE SUTEX CO-OPERATIVE BANK LTD.</t>
  </si>
  <si>
    <t>THE TAMILNADU STATE APEX CO-OPERATIVE BANK LTD.</t>
  </si>
  <si>
    <t>THE UDAIPUR URBAN CO-OP. BANK LTD.</t>
  </si>
  <si>
    <t>THE VARACHHA CO-OPERATIVE BANK LTD., SURAT</t>
  </si>
  <si>
    <t xml:space="preserve">THE VIJAY CO-OPERATIVE BANK LTD. </t>
  </si>
  <si>
    <t>THE VISHWESHWAR SAHAKARI BANK LTD., PUNE</t>
  </si>
  <si>
    <t>THE WEST BENGAL STATE CO-OPERATIVE BANK LTD.</t>
  </si>
  <si>
    <t>THE ZOROASTRIAN COOPERATIVE BANK LIMITED</t>
  </si>
  <si>
    <t>THRISSUR DISTRICT CO-OPERATIVE BANK LTD.</t>
  </si>
  <si>
    <t>TJSB SAHAKARI BANK LTD.</t>
  </si>
  <si>
    <t>TUMKUR GRAIN MERCHANTS CO-OPERATIVE BANK LTD.</t>
  </si>
  <si>
    <t>Ujjivan Small Finance Bank Limited</t>
  </si>
  <si>
    <t>UNIITED OVERSEAS BANK MUMBAI BRANCH</t>
  </si>
  <si>
    <t>UNION BANK OF INDIA- Andhra Bank till 31.03.2020</t>
  </si>
  <si>
    <t>UNION BANK OF INDIA-Corporation Bank till 31.03.20</t>
  </si>
  <si>
    <t>URBAN COOPERATIVE BANK LTD No 1758 PERINTHALMANNA</t>
  </si>
  <si>
    <t>UTTAR PRADESH COOPERATIVE BANK LTD LUCKNOW</t>
  </si>
  <si>
    <t>Vasai Janata Sahakari Bank Ltd.</t>
  </si>
  <si>
    <t>VASAI VIKAS SAHAKARI BANK LTD.</t>
  </si>
  <si>
    <t>YES BANK LTD</t>
  </si>
  <si>
    <t>THE GANDHIDHAM CO OPERATIVE BANK LTD</t>
  </si>
  <si>
    <t>THE BAPUNAGAR MAHILA CO-OPERATIVE BANK LIMITED</t>
  </si>
  <si>
    <t>THE KOLAR AND CHIKBALLAPURA DISTRICT CENTRAL COOPERATIVE BANK LTD., KOLAR</t>
  </si>
  <si>
    <t>The Dahod Mercantile co op Bank Ltd</t>
  </si>
  <si>
    <t>Arihant Urban Coop Bank Ltd</t>
  </si>
  <si>
    <t>Jogindra Central Cooperative Bank Ltd. Solan H.P.</t>
  </si>
  <si>
    <t>Nutan Nagrik Sahakari Bank Ltd</t>
  </si>
  <si>
    <t>The Punjab State Cooperative Bank Ltd</t>
  </si>
  <si>
    <t>The Cherpalcheri Co Operative Urban Bank Ltd</t>
  </si>
  <si>
    <t xml:space="preserve">BALUSSERI CO OPERATIVE URBAN BANK LTD </t>
  </si>
  <si>
    <t>JILA SAHAKARI KENDRIYA BANK MARYADIT KHARGONE</t>
  </si>
  <si>
    <t>TJSB Sahakari Bank Ltd</t>
  </si>
  <si>
    <t>Amreli Nagarik Sahakari Bank Ltd.</t>
  </si>
  <si>
    <t>Shree Kadi Nagarik Sahakari Bank Ltd.</t>
  </si>
  <si>
    <t>SHREE TALAJA NAGRIK SHAKARI BANK LTD.</t>
  </si>
  <si>
    <t>DURGAPUR STEEL PEOPLES' CO-OP. BANK LTD.</t>
  </si>
  <si>
    <t>DMK Jaoli Bank Ltd</t>
  </si>
  <si>
    <t>The Jind Central Cooperative Bank LTD.</t>
  </si>
  <si>
    <t>Kokan Mercantile Co-op Bank Ltd</t>
  </si>
  <si>
    <t>THE NILGIRIS DISTRICT CENTRAL CO OPERATIVE BANK LTD.,</t>
  </si>
  <si>
    <t>Jila Sahakari Kendriya Bank Maryadit Durg</t>
  </si>
  <si>
    <t>THE MANDVI NAGRIK SAHAKARI BANK LTD.</t>
  </si>
  <si>
    <t>The Jamkhandi Urban Co-operative Bank Ltd</t>
  </si>
  <si>
    <t>Vikramaditya Nagrik Sahakari bank</t>
  </si>
  <si>
    <t>Dausa Urban Cooperative Bank Ltd</t>
  </si>
  <si>
    <t>Shree Mahuva Nagrik Sahakari Bank Ltd.</t>
  </si>
  <si>
    <t>Chikmagalur DCCB</t>
  </si>
  <si>
    <t>Sreenidhi Souharda Sahakari Bank Niyamitha</t>
  </si>
  <si>
    <t>YES BANK LIMITED</t>
  </si>
  <si>
    <t>Wardhaman Urban Co-op Bank Ltd.</t>
  </si>
  <si>
    <t>VILLUPURAM DISTRICT CENTRAL COOPERATIVE BANK LTD.</t>
  </si>
  <si>
    <t>Vikas Souharda Co-operative Bank Ltd.</t>
  </si>
  <si>
    <t>Vijayapura DCC Bank Ltd., Vijayapura</t>
  </si>
  <si>
    <t>Vijay Commercial Co-op. Bank Ltd. Rajkot</t>
  </si>
  <si>
    <t>Vasai Vikas Sahakari Bank Ltd.</t>
  </si>
  <si>
    <t>VEERASHAIVA SAHAKARI BANK LTD</t>
  </si>
  <si>
    <t>VASAI JANATA SAHAKARI BANK LTD.</t>
  </si>
  <si>
    <t>Vardhaman (Mahila) Co-operative Urban Bank Ltd</t>
  </si>
  <si>
    <t>VALSAD DISTRICT CENTRAL CO-OP BANK LTD., VALSAD</t>
  </si>
  <si>
    <t>Valmiki Urban Co Op Bank Ltd.,Pathri</t>
  </si>
  <si>
    <t>VAISHYA SAHAKARI BANK LTD.,MUMBAI</t>
  </si>
  <si>
    <t>VAISHYA NAGARI SAHA BANK LTD PARBHANI</t>
  </si>
  <si>
    <t>UTTARAKHAND GRAMIN BANK</t>
  </si>
  <si>
    <t>Utkarsh Small Finance Bank</t>
  </si>
  <si>
    <t>UNJHA NAGARIK SAHAKARI BANK LTD.</t>
  </si>
  <si>
    <t>Union Bank of India</t>
  </si>
  <si>
    <t>TUMKUR GRAIN MERCHANTS CO-OP. BANK LTD.</t>
  </si>
  <si>
    <t>Tripura State Co-operative Bank Ltd.</t>
  </si>
  <si>
    <t>Tripura Gramin Bank</t>
  </si>
  <si>
    <t>TIRUVANNAMALAI DISTRICT CENTRAL CO-OPERATIVE BANK LTD.</t>
  </si>
  <si>
    <t>TIRUPATI URBAN CO-OP. BANK LTD., NAGPUR</t>
  </si>
  <si>
    <t>TIRUNELVELI DISTRICT CENTRAL CO-OPERATIVE BANK LTD.</t>
  </si>
  <si>
    <t>The Tiruchirappalli  District Central Co-operative Bank Ltd.</t>
  </si>
  <si>
    <t>The Wayanad District Co-Operative Bank Ltd.</t>
  </si>
  <si>
    <t>The Washim Urban Co-Operative Bank Ltd</t>
  </si>
  <si>
    <t>The Vishweshwar Sahakari Bank Ltd., Pune</t>
  </si>
  <si>
    <t>THE VIRUDHUNAGAR DISTRICT CENTRAL COOPERATIVE BANK LTD.,</t>
  </si>
  <si>
    <t>The Vijay Co-operative Bank Ltd.</t>
  </si>
  <si>
    <t xml:space="preserve">The Veraval Peoples Co Op Bank Ltd </t>
  </si>
  <si>
    <t>The Vellore District Central Co-operative Bank Ltd.</t>
  </si>
  <si>
    <t>THE VARACHHA CO-OP. BANK LTD., SURAT</t>
  </si>
  <si>
    <t>The Urban Co-op. Bank Ltd., Dharangaon</t>
  </si>
  <si>
    <t>THE UNION CO-OP. BANK LTD</t>
  </si>
  <si>
    <t>The Una People's Co-op. Bank Ltd.</t>
  </si>
  <si>
    <t>The Udupi Co-operative Town Bank Ltd.</t>
  </si>
  <si>
    <t>The Udaipur Urban Cooperative Bank Ltd.</t>
  </si>
  <si>
    <t xml:space="preserve">THE UDAIPUR MAHILA URBAN CO- OP BANK LTD </t>
  </si>
  <si>
    <t>THE UDAIPUR MAHILA SAMRIDHI URBAN CO-OP. BANK LTD.</t>
  </si>
  <si>
    <t>THE THRISSUR DISTRICT CO-OP. BANK LTD.</t>
  </si>
  <si>
    <t>The Thoothukudi District Central Cooperative Bank Limited.,</t>
  </si>
  <si>
    <t>The Thanjavur Central Co-Operative Bank Ltd</t>
  </si>
  <si>
    <t>THE TAMIL NADU INDUSTRIAL CO-OPERATIVE BANK LTD.</t>
  </si>
  <si>
    <t>The Sutex Co-op Bank Ltd</t>
  </si>
  <si>
    <t>SBM Bank India Ltd</t>
  </si>
  <si>
    <t>The Surat Mercantile Co Op Bank Ltd</t>
  </si>
  <si>
    <t>The Surat District Co-Op bank Ltd.</t>
  </si>
  <si>
    <t xml:space="preserve">THE SULTAN'S BATTERY CO-OPERATIVE URBAN BANK LTD. </t>
  </si>
  <si>
    <t>The Sabarkantha Dist. Central Co-op Bank Ltd.</t>
  </si>
  <si>
    <t>The SSK Co Opertive Bank Ltd</t>
  </si>
  <si>
    <t>The Sonepat Central Co-op Bank Ltd. Sonepat</t>
  </si>
  <si>
    <t>The Sirsi Urban Sahakari Bank Ltd</t>
  </si>
  <si>
    <t>The Shirpur Peoples Co-op Bank Ltd.</t>
  </si>
  <si>
    <t>THE SHILLONG CO-OPERATIVE URBAN BANK LTD</t>
  </si>
  <si>
    <t>The Saurashtra Co-operative Bank Ltd.</t>
  </si>
  <si>
    <t>The Satara DCC Bank Ltd., Satara</t>
  </si>
  <si>
    <t>The Sarvodaya Sahakari Bank Ltd.,Surat</t>
  </si>
  <si>
    <t>THE SARANGPUR CO OP BANK LTD</t>
  </si>
  <si>
    <t>THE SANKHEDA NAGARIK SAHAKARI BANK LTD</t>
  </si>
  <si>
    <t>THE SANGAMNER MERCHANTS CO-OP. BANK LTD.</t>
  </si>
  <si>
    <t>THE SALEM DISTRICT CENTRAL CO-OPERATIVE BANK LTD.</t>
  </si>
  <si>
    <t>The Ranuj Nagrik Sahakari Bank Ltd</t>
  </si>
  <si>
    <t>The Rajkot Commercial Co-Operative Bank Ltd</t>
  </si>
  <si>
    <t>The Rajasthan State Co-operative Bank Ltd.</t>
  </si>
  <si>
    <t>Rajasthan Marudhara Gramin Bank</t>
  </si>
  <si>
    <t>The Railway Emp Co-op Bank Ltd., Jaipur</t>
  </si>
  <si>
    <t>The Panchsheel Merc. Co. Op. Bank Ltd.</t>
  </si>
  <si>
    <t>The Puddukottai District Central Cooeprative Bank Ltd</t>
  </si>
  <si>
    <t>THE PIMPALGAON MERCHANT COOPERATIVE BANK LTD</t>
  </si>
  <si>
    <t>The Panipat Urban Co-Operaive Bank Ltd.</t>
  </si>
  <si>
    <t>THE PANIPAT CENTRAL COOPERATIVE BANK LTD</t>
  </si>
  <si>
    <t>The Panchmahal District Co-Op Bank Ltd</t>
  </si>
  <si>
    <t>THE OTTAPALAM CO OPERATIVE URBAN BANK LTD.</t>
  </si>
  <si>
    <t>The Nilambur Co-operative Urban Bank Ltd.</t>
  </si>
  <si>
    <t>THE NEW URBAN CO-OP. BANK LTD. - RAMPUR</t>
  </si>
  <si>
    <t>THE NAWANAGAR CO-OPERATIVE BANK LTD.</t>
  </si>
  <si>
    <t>THE NAVNIRMAN CO OP BANK LTD</t>
  </si>
  <si>
    <t>The Naval Dockyard Co-op Bank Ltd.</t>
  </si>
  <si>
    <t>THE NARODA NAGRIK CO-OPERATIVE BANK LTD.</t>
  </si>
  <si>
    <t>The Nandura Urban Co-op Bank Limited</t>
  </si>
  <si>
    <t>The Municipal Co-operative Bank Ltd., Mumbai</t>
  </si>
  <si>
    <t>THE MODASA NAGARIK SAHAKARI BANK LTD</t>
  </si>
  <si>
    <t>The Meghalaya Co-operative Apex Bank Ltd.</t>
  </si>
  <si>
    <t>THE MYSORE AND CHAMARAJANAGAR DISTT CO OP CENTRAL BANK LTD MYSURU</t>
  </si>
  <si>
    <t>THE MATTANCHERRY SARVAJANIK CO- OP BANK LTD NO 3284</t>
  </si>
  <si>
    <t>THE MANGALORE CO-OPERATIVE TOWN BANK LTD</t>
  </si>
  <si>
    <t>The Mangalore Catholic Co-Operative Bank</t>
  </si>
  <si>
    <t>THE MALVIYA URBAN COOPERATIVE BANK LTD</t>
  </si>
  <si>
    <t>The Maharashtra State Co-operative Bank</t>
  </si>
  <si>
    <t>The Maharashtra Mantralaya &amp; Allied Offices Co-operative Bank Ltd</t>
  </si>
  <si>
    <t>THE MAHARAJA CO-OPERATIVE URBAN BANK LIMITED</t>
  </si>
  <si>
    <t>G S Mahanagar Co-op. Bank Ltd.</t>
  </si>
  <si>
    <t>THE KUMBAKONAM CENTRAL COOPERATIVE BANK LTD</t>
  </si>
  <si>
    <t>THE KUKARWADA NAGARIK SAHAKARI BANK LTD</t>
  </si>
  <si>
    <t>The Krishna District Co-operative Central Bank Ltd.,Machilipatnam</t>
  </si>
  <si>
    <t>THE KODUNGALLUR TOWN CO OPERATIVE BANK LTD</t>
  </si>
  <si>
    <t>The Kolhapur Urban Co-op. Bank Ltd.</t>
  </si>
  <si>
    <t>THE KARNAVATI CO-OP. BANK LTD.</t>
  </si>
  <si>
    <t>The Kancheepuram Central Cooperative Bank Ltd.,</t>
  </si>
  <si>
    <t>The Karnataka State Cooperative Apex Bank Ltd.</t>
  </si>
  <si>
    <t>THE KALUPUR COMM. CO OP BANK LTD</t>
  </si>
  <si>
    <t>The Kodagu District Co-op Central Bank Ltd.</t>
  </si>
  <si>
    <t>The Junagadh Commercial Co Operative Bank Ltd</t>
  </si>
  <si>
    <t>THE JHAJJAR CENTRAL COOPERATIVE BANK LTD; JHAJJAR</t>
  </si>
  <si>
    <t>THE JAMPETA CO-OPERATIVE URBAN BANK LTD</t>
  </si>
  <si>
    <t>The Jalgaon Peoples Co-op Bank Ltd. Jalgaon</t>
  </si>
  <si>
    <t>THE JAIN SAHAKARI BANK LTD.</t>
  </si>
  <si>
    <t>The Hasti Co-op. Bank Ltd., Dondaicha</t>
  </si>
  <si>
    <t>The Haryana State Co-operative Apex Bank Ltd.</t>
  </si>
  <si>
    <t>The Guntur District Co-operative Central Bank Limited</t>
  </si>
  <si>
    <t>The Guntur Co.Operative Urban Bank Ltd</t>
  </si>
  <si>
    <t>The Gujarat State Co-operative Bank Ltd.</t>
  </si>
  <si>
    <t>The Gandhinagar Nagarik Co-op. Bank Ltd.</t>
  </si>
  <si>
    <t>The Gandhidham Mercantile Co-operative Bank Ltd.</t>
  </si>
  <si>
    <t>The Gandevi People's Co-Op.Bank ltd</t>
  </si>
  <si>
    <t>The Financial Co-operative Bank Ltd.</t>
  </si>
  <si>
    <t>The Erode District Central Co-operative Bank Ltd.</t>
  </si>
  <si>
    <t>THE EENADU CO-OP. URBAN BANK LTD.</t>
  </si>
  <si>
    <t>The District Co-operative Central Bank Ltd., Visakhapatnam</t>
  </si>
  <si>
    <t>The District Co-operative Central Bank Ltd., Srikakulam</t>
  </si>
  <si>
    <t>The District Co-operative Central Bank Ltd.Eluru</t>
  </si>
  <si>
    <t>The Dharmapuri District Central Co-operative Bank Ltd.</t>
  </si>
  <si>
    <t>The Davangere-Harihara Urban Sahakari Bank Niyamit, DAVANGERE</t>
  </si>
  <si>
    <t>THE DAHOD URBAN CO.-OP. BANK LTD.,DAHOD</t>
  </si>
  <si>
    <t>The Cuddalore District Central Cooperative Bank Ltd.</t>
  </si>
  <si>
    <t>THE COSMOS CO-OP BANK LIMITED</t>
  </si>
  <si>
    <t>The Co-Operative Bank of Mehsana Ltd.</t>
  </si>
  <si>
    <t>THE COMMERCIAL CO-OPERATIVE BANK LTD -JAMNAGAR</t>
  </si>
  <si>
    <t>The Commercial Co-op. Bank Ltd., Kolhapur</t>
  </si>
  <si>
    <t>The Coimbatore District Central Co-operative Bank Ltd.</t>
  </si>
  <si>
    <t>The Chittoor District Cooperative Central Bank ltd. Chittoor AP</t>
  </si>
  <si>
    <t>The Chikhli Urban Co-op. Bank Ltd.</t>
  </si>
  <si>
    <t>The Chanasma Nagrik Sahakari Bank Ltd</t>
  </si>
  <si>
    <t>THE CALICUT CO-OPERATIVE URBAN BANK LTD</t>
  </si>
  <si>
    <t>THE BUSINESS CO OP BANK LTD,Nashik Road</t>
  </si>
  <si>
    <t>The Bhuj Commercial Co Operative Bank Ltd.</t>
  </si>
  <si>
    <t>THE BHIWANI CENTRAL COOPERATIVE BANK LTD;BHIWANI</t>
  </si>
  <si>
    <t>THE BICHOLIM URBAN CO-OPERATIVE BANK LTD</t>
  </si>
  <si>
    <t>The Bhagyodaya Co-op. Bank Ltd.</t>
  </si>
  <si>
    <t>The Bhagyalakshmi Mahila Sahakari Bank Ltd.</t>
  </si>
  <si>
    <t>The Bellary District Co-Operative Central Bank Ltd.</t>
  </si>
  <si>
    <t>THE BAVLA NAGRIK SAHKARI BANK LTD</t>
  </si>
  <si>
    <t>The Baroda City Co.Operative Bank Ltd</t>
  </si>
  <si>
    <t>THE BARODA CENTRAL CO-OP BANK LTD., BARODA</t>
  </si>
  <si>
    <t>The Bardoli Nagrik Sahakari Bank Ltd.</t>
  </si>
  <si>
    <t>The Banasknatha Mercantle Co-Operative Bank Ltd</t>
  </si>
  <si>
    <t>The Babasaheb Deshmukh Sahakari bank Ltd Atpadi</t>
  </si>
  <si>
    <t>The Ashta Peoples Co-op Bank Ltd Ashta</t>
  </si>
  <si>
    <t>The Andhra Pradesh State Co-operative Bank Ltd.</t>
  </si>
  <si>
    <t>THE ANAND MERCANTILE CO.OPERATIVE BANK LTD</t>
  </si>
  <si>
    <t>The Amaravati Zillha Parishad Shikshak Sah. Bank Ltd Amravati</t>
  </si>
  <si>
    <t>THE AKOLA JANATA COMMERCIAL CO-OP. BANK LTD., AKOLA</t>
  </si>
  <si>
    <t>The Akola District Central Co-operative Bank Ltd., Akola</t>
  </si>
  <si>
    <t>The Ajara Urban Co-op. Bank Ltd., Ajara</t>
  </si>
  <si>
    <t>The Ahmedabad Mercantile Co-op. Bank Ltd.</t>
  </si>
  <si>
    <t>THE AHMEDABAD DISTRICT CO-OPERATIVE BANK LTD</t>
  </si>
  <si>
    <t>The Adinath Co-operative Bank Ltd.</t>
  </si>
  <si>
    <t>THE ADARSH CO-OP. URBAN BANK LTD,Hyderabad</t>
  </si>
  <si>
    <t>The Accountant Generals Office Employees Co-operative Bank Limited</t>
  </si>
  <si>
    <t>The Thane District Central Co.Op.Bank LTD</t>
  </si>
  <si>
    <t>THANE BHARAT SAHAKARI BANK LIMITED</t>
  </si>
  <si>
    <t>THE TEXCO CO OPERATIVE BANK LTD ,Surat</t>
  </si>
  <si>
    <t>Textile Traders Cooperative Bank Limited</t>
  </si>
  <si>
    <t>TELANGANA GRAMEENA BANK</t>
  </si>
  <si>
    <t>Tamilnad Mercantile Bank Ltd</t>
  </si>
  <si>
    <t>TAMIL NADU STATE APEX CO-OP. BANK</t>
  </si>
  <si>
    <t>Swatantrya Senani Late Shripal Alase (kaka) Kurundwad Urban Co-OP Bank Ltd., Kurundwad</t>
  </si>
  <si>
    <t xml:space="preserve">SVC Co Op Bank Ltd </t>
  </si>
  <si>
    <t>Suryoday Small Finance Bank Limited</t>
  </si>
  <si>
    <t>Surat National Co-op Bank Ltd.</t>
  </si>
  <si>
    <t>SUNDARLAL SAWJI URBAN CO-OP BANK LTD., JINTUR</t>
  </si>
  <si>
    <t>SUCO SOUHARDA SAHAKARI BANK LTD.</t>
  </si>
  <si>
    <t>SRI SUDHA CO-OPERATIVE BANK LTD</t>
  </si>
  <si>
    <t>SRI RAMA CO-OP BANK LTD</t>
  </si>
  <si>
    <t>Sree Charan Souhardha Co-operative bank ltd.</t>
  </si>
  <si>
    <t>SIVAGANGAI DISTRICT CENTRAL CO-OPERATIVE BANK LTD</t>
  </si>
  <si>
    <t>Sindhudurg District Central Co. Operative Bank Ltd. Sindhudurg</t>
  </si>
  <si>
    <t>SHUSHRUTI SOUHARDA SAHAKARA BANK NIYAMITA</t>
  </si>
  <si>
    <t>Shree Warana Bank LTD, Warananagar</t>
  </si>
  <si>
    <t>Shri Shivayogi Murughendra Swami UrbanCo-op. Bank Ltd., Athani</t>
  </si>
  <si>
    <t>Shri Rajkot District Central Co-op Bank Ltd.</t>
  </si>
  <si>
    <t>SHRI MAHILA SEWA SAHAKARI BANK LTD.</t>
  </si>
  <si>
    <t>Shri Mahalaxmi Co-op. Bank Ltd., Kolhapur</t>
  </si>
  <si>
    <t>Shri Chhatrapati Rajarshi Shahu Urban Co-op. Bank Ltd., Beed</t>
  </si>
  <si>
    <t>Shri Arihant Co-Op Bank Ltd</t>
  </si>
  <si>
    <t>SHRI ANAND NAGARI SAHAKARI BANK LTD.</t>
  </si>
  <si>
    <t>Shree Sharada Sahakari Bank Ltd., Pune</t>
  </si>
  <si>
    <t>SHREE PANCHGANGA NAGARI SAHAKARI BANK LTD. KOLHAPUR</t>
  </si>
  <si>
    <t>Shree Dharati Co-operative Bank Ltd.</t>
  </si>
  <si>
    <t>Shivalik small finance bank</t>
  </si>
  <si>
    <t>Shinhan Bank</t>
  </si>
  <si>
    <t>Sharad Sahakari Bank Ltd., Manchar</t>
  </si>
  <si>
    <t>Saurashtra Gramin Bank</t>
  </si>
  <si>
    <t>SARVODAYA NAGARIK SAHAKARI BANK LTD. HIMATNAGAR</t>
  </si>
  <si>
    <t>SARVODAYA COMMERCIAL CO-OPERATIVE BANK LTD MEHSANA</t>
  </si>
  <si>
    <t>Sarva Haryana Gramin Bank</t>
  </si>
  <si>
    <t>Sardar Vallabhbhahi Sahakari Bank Ltd</t>
  </si>
  <si>
    <t>SARDAR SINGH NAGRIK SAHKARI BANK MYDT TIKAMGARH</t>
  </si>
  <si>
    <t>SARDARGUNJ MERCANTILE CO-OPERATIVE BANK LTD., ANAND</t>
  </si>
  <si>
    <t>SARDAR BHILADWALA PARDI PEOPLES CO-OPERATIVE BANK LTD.</t>
  </si>
  <si>
    <t>Saraswat Co-op. Bank Ltd</t>
  </si>
  <si>
    <t>SARASPUR NAGARI CO-OP. BANK LTD.</t>
  </si>
  <si>
    <t>Sant Sopankaka Sahakari Bank Ltd.,Saswad.</t>
  </si>
  <si>
    <t>Sandiur Pattana Souharda Sahakari Bank Ni.</t>
  </si>
  <si>
    <t>SAMRUDDHI CO-OP. BANK LTD., NAGPUR</t>
  </si>
  <si>
    <t>SAMPADA SAHAKARI BANK LTD PUNE</t>
  </si>
  <si>
    <t>SAMARTH SAHAKARI BANK MARYADIT,JALNA.</t>
  </si>
  <si>
    <t>SAMARTH SAHAKARI BANK LTD., SOLAPUR</t>
  </si>
  <si>
    <t>Sadhana Sahakari Bank Ltd.</t>
  </si>
  <si>
    <t>Sadalga Urban Souharda Sahakari Bank Niyamit.,Sadalga</t>
  </si>
  <si>
    <t>RANI CHANNAMMA MAHILA SAHAKARI BANK NIYAMIT, BELAGAVI</t>
  </si>
  <si>
    <t>RBL BANK LIMITED</t>
  </si>
  <si>
    <t>Ramanathapuram DCC Bank</t>
  </si>
  <si>
    <t>Rajkot Peoples Co-Operative Bank Ltd.</t>
  </si>
  <si>
    <t>Rajkot Nagarik Sahakari Bank Ltd.</t>
  </si>
  <si>
    <t>RAJGURUNAGAR SAHAKARI BANK LTD.</t>
  </si>
  <si>
    <t>RAJARAMBAPU SAHAKARI BANK LTD; PETH</t>
  </si>
  <si>
    <t>RAJAPUR URBAN CO-OP. BANK LTD.</t>
  </si>
  <si>
    <t>PUSAD URBAN BANK</t>
  </si>
  <si>
    <t>Punjab National Bank</t>
  </si>
  <si>
    <t>Punjab &amp; Sind Bank</t>
  </si>
  <si>
    <t>Pune People's Co op Bank Ltd</t>
  </si>
  <si>
    <t>Pune Cantonment Sahakari Bank Ltd.</t>
  </si>
  <si>
    <t>PRIYADARSHANI NAGARI SAHAKARI BANK LTD., JALNA</t>
  </si>
  <si>
    <t>Prime Co-op. Bank Ltd.</t>
  </si>
  <si>
    <t>THE PRATAP CO-OP. BANK LTD</t>
  </si>
  <si>
    <t>PRAGATI SAHAKARI BANK LTD.VADODARA</t>
  </si>
  <si>
    <t>Poornawadi Nagrik Sah. Bank M., Beed</t>
  </si>
  <si>
    <t>Pochampally Co-operative Urban Bank ltd</t>
  </si>
  <si>
    <t>People's Urban Co-operative Bank Ltd. Tripunithura.</t>
  </si>
  <si>
    <t>PEOPLES CO OP BANK LTD DHOLKA</t>
  </si>
  <si>
    <t>PAVANA SAHAKARI BANK LTD.</t>
  </si>
  <si>
    <t>PATAN NAGARIK SAHAKARI BANK LTD</t>
  </si>
  <si>
    <t>Palus Sahakari Bank Ltd., Palus</t>
  </si>
  <si>
    <t>Pali Urban Co operative Bank Ltd.Pali (Rajasthan)</t>
  </si>
  <si>
    <t>NSDL Payments bank</t>
  </si>
  <si>
    <t>North East Small Finance Bank Limited</t>
  </si>
  <si>
    <t>NKGSB CO-OPERATIVE BANK LIMITED</t>
  </si>
  <si>
    <t>NIDHI CO-OP. BANK LTD.</t>
  </si>
  <si>
    <t>New India Co-operative Bank Ltd.</t>
  </si>
  <si>
    <t>Navsarjan Indl Co-Op Bank Ltd</t>
  </si>
  <si>
    <t>NAVI MUMBAI CO-OP BANK LTD</t>
  </si>
  <si>
    <t>Nav Jeevan Co-op. Bank Ltd.</t>
  </si>
  <si>
    <t>NAVANAGARA URBAN CO OP BANK LTD</t>
  </si>
  <si>
    <t>NAINITAL BANK LIMITED</t>
  </si>
  <si>
    <t xml:space="preserve">NAGRIK SAHAKARI BANK MYDT VIDISHA </t>
  </si>
  <si>
    <t>NAGRIK SAHKARI BANK MARYADIT GWALIOR</t>
  </si>
  <si>
    <t>Model Co-op. Bank Ltd.</t>
  </si>
  <si>
    <t>MEHSANA URBAN CO-OP. BANK LIMITED</t>
  </si>
  <si>
    <t>Meghalaya Rural Bank</t>
  </si>
  <si>
    <t>MARATHA CO-OPERATIVE BANK LTD., BELGAUM</t>
  </si>
  <si>
    <t>Manvi Pattana Souharda Sahakari Bank Ni.</t>
  </si>
  <si>
    <t>Mansing Co-op. Bank Ltd., Dudhondi</t>
  </si>
  <si>
    <t xml:space="preserve">Manipur Rural Bank </t>
  </si>
  <si>
    <t>MANJERI CO-OP URBAN BANK LTD.</t>
  </si>
  <si>
    <t>Mann Deshi Mahila Sahakari Bank Ltd., Mhaswad</t>
  </si>
  <si>
    <t>The Malad Sahakari Bank Limited</t>
  </si>
  <si>
    <t>Mahesh Sahakari Bank Ltd., Pune</t>
  </si>
  <si>
    <t>Shree Mahavir Sahakari Bank Ltd Jalgaon</t>
  </si>
  <si>
    <t>Maharashtra Gramin Bank</t>
  </si>
  <si>
    <t>Mahanagar Nagrik Sahakari Bank Mydt.</t>
  </si>
  <si>
    <t>MAHALAKSHMI CO-OPERATIVE BANK LTD UDUPI</t>
  </si>
  <si>
    <t>MADURAI DISTRICT CENTRAL CO-OPERATIVE BANK LTD</t>
  </si>
  <si>
    <t xml:space="preserve">M S CO-OPERATIVE BANK LIMITED </t>
  </si>
  <si>
    <t>Lonavala Sahakari Bank Ltd</t>
  </si>
  <si>
    <t xml:space="preserve">Loknete Dattaji Patil Sahkari Bank Ltd,Lasalgaon </t>
  </si>
  <si>
    <t>LAXMI VILAS BANK LTD</t>
  </si>
  <si>
    <t>Latur Urban Co-op. Bank Ltd., Latur</t>
  </si>
  <si>
    <t>Lakhimpur Urban Co-op.Bank Ltd.</t>
  </si>
  <si>
    <t>Krishna Bhima Samruddhi Local Area Bank</t>
  </si>
  <si>
    <t>THE KRANTHI CO-OPERATIVE URBAN BANK LTD.,</t>
  </si>
  <si>
    <t>Kozhikode District Co-op. Bank</t>
  </si>
  <si>
    <t>KOTA NAGRIK SAHKARI BANK LTD</t>
  </si>
  <si>
    <t>Kerala State Co-operative Bank Ltd.</t>
  </si>
  <si>
    <t xml:space="preserve">KERALA GRAMIN BANK </t>
  </si>
  <si>
    <t>KEMPEGOWDA PATTANA SOUHARDA SAHAKARI BANK NIYAMITHA</t>
  </si>
  <si>
    <t>KARUR VYSYA BANK LTD</t>
  </si>
  <si>
    <t xml:space="preserve">Karnataka Vikas Grameen Bank </t>
  </si>
  <si>
    <t>Karnataka Bank Ltd</t>
  </si>
  <si>
    <t>KANYAKUMARI DISTRICT CENTRAL CO-OPERATIVE BANK LTD.</t>
  </si>
  <si>
    <t>KANKARIA MANINAGAR NAGRIK SAHAKARI BANK LTD.</t>
  </si>
  <si>
    <t>Kallappanna Awade Ichalkaranji Janata Sah. Bank Ltd., Ichalkaranji</t>
  </si>
  <si>
    <t>Jodhpur Nagrik Sahakari Bank Ltd.</t>
  </si>
  <si>
    <t>Jivan Commercial Co-operative Bank Limited</t>
  </si>
  <si>
    <t>Jalore Nagrik Sahakari Bank Ltd</t>
  </si>
  <si>
    <t>JIJAMATA MAHILA SAH BANK LTD PUNE</t>
  </si>
  <si>
    <t xml:space="preserve">Jio Payments Bank Limited           </t>
  </si>
  <si>
    <t>JANTA SAHAKARI BANK PUNE</t>
  </si>
  <si>
    <t xml:space="preserve">Janatha Seva Bank </t>
  </si>
  <si>
    <t>Janata Sahakari Bank Ltd, Ajara</t>
  </si>
  <si>
    <t>JANAKALYAN SAHAKARI BANK LTD.</t>
  </si>
  <si>
    <t>Jana Small Finance Bank Limited</t>
  </si>
  <si>
    <t>J &amp; K Grameen Bank</t>
  </si>
  <si>
    <t>The Jammu &amp; Kashmir Bank</t>
  </si>
  <si>
    <t>Jalna Merchants Co op Bank Ltd., Jalna.</t>
  </si>
  <si>
    <t>JALGAON JANATA SAHAKARI BANK LTD., JALGAON</t>
  </si>
  <si>
    <t>INDUSIND BANK LTD</t>
  </si>
  <si>
    <t>Indian Bank</t>
  </si>
  <si>
    <t>India Post Payments Bank Limited</t>
  </si>
  <si>
    <t>INDRAPRASTHA SEHKARI BANK LTD</t>
  </si>
  <si>
    <t>INDORE PARASPAR SAHAKARI BANK LTD INDORE</t>
  </si>
  <si>
    <t xml:space="preserve">INDORE CLOTH MARKET CO-OP. BANK LTD. </t>
  </si>
  <si>
    <t>IDFC First Bank Ltd.</t>
  </si>
  <si>
    <t>IDBI Bank Ltd.</t>
  </si>
  <si>
    <t>HUTATMA SAHKARI BANK LTD., WALWA</t>
  </si>
  <si>
    <t>HSBC</t>
  </si>
  <si>
    <t>Himatnagar Nagrik Sahkari Bank Ltd</t>
  </si>
  <si>
    <t>HIMACHAL PRADESH GRAMIN BANK</t>
  </si>
  <si>
    <t>GUJARAT AMBUJA CO-OP BANK LTD</t>
  </si>
  <si>
    <t>The Greater Bombay Co-op Bank Ltd</t>
  </si>
  <si>
    <t>G.P. PARSIK JANATA SAHAKARI BANK LTD.</t>
  </si>
  <si>
    <t>Godavari Urabn Co.operative Bank Ltd,Nashik</t>
  </si>
  <si>
    <t>Fino Payments Bank</t>
  </si>
  <si>
    <t>Fingrowth Co-operative Bank Ltd.</t>
  </si>
  <si>
    <t>FINCARE SMALL FINANCE BANK</t>
  </si>
  <si>
    <t>ESAF SMALL FINANCE BANK</t>
  </si>
  <si>
    <t>Dombivli Nagari Sahakari Bank Ltd.</t>
  </si>
  <si>
    <t>Doha Bank QPSC</t>
  </si>
  <si>
    <t>DINDIGUL CENTRAL COOPERATIVE BANK LTD</t>
  </si>
  <si>
    <t>DHANLAXMI BANK LIMITED</t>
  </si>
  <si>
    <t>Dhanera Mercantile Co-Operative Bank Ltd.</t>
  </si>
  <si>
    <t>Deutsche Bank</t>
  </si>
  <si>
    <t>Deogiri nagari Sahakari Bank Ltd. Aurangabad</t>
  </si>
  <si>
    <t>Deendayal Nagari Sahkari Bank Ltd ;Ambajogai</t>
  </si>
  <si>
    <t>DCB Bank Ltd.</t>
  </si>
  <si>
    <t>DAPOLI URBAN CO-OP BANK LTD. DAPOLI</t>
  </si>
  <si>
    <t>Dakshin Bihar Gramin Bank</t>
  </si>
  <si>
    <t>DBS BANK LIMITED</t>
  </si>
  <si>
    <t>COLOUR MERCHANTS CO-OPERATIVE BANK LTD</t>
  </si>
  <si>
    <t>COASTAL LOCAL AREA BANK LTD</t>
  </si>
  <si>
    <t>CITIZENS CO-OPERATIVE BANK LTD., RAJKOT</t>
  </si>
  <si>
    <t>CitizenCredit Co-op. Bank Ltd.</t>
  </si>
  <si>
    <t>Chikkamagaluru District Central Co-op Bank Ltd.</t>
  </si>
  <si>
    <t>Chaitanya Godavari Grameena Bank</t>
  </si>
  <si>
    <t>C G Rajya Sahakari Bank (Mydt)</t>
  </si>
  <si>
    <t>Central Bank of India</t>
  </si>
  <si>
    <t>CATHOLIC SYRIAN BANK LIMITED</t>
  </si>
  <si>
    <t>Capital Small Finance Bank Limited</t>
  </si>
  <si>
    <t>Canara Bank</t>
  </si>
  <si>
    <t>BHILWARA URBAN COOPERATIVE BANK LTD</t>
  </si>
  <si>
    <t>BHAVANA RISHI COOPERATIVE URBAN BANK LTD</t>
  </si>
  <si>
    <t>Bhavnagar District Co-operative Bank Ltd</t>
  </si>
  <si>
    <t>Bharat Bank Cooperative (Mum) Ltd.</t>
  </si>
  <si>
    <t>BHAGINI NIVEDITA SAHAKARI BANK LTD., PUNE</t>
  </si>
  <si>
    <t>Bhadradri Co operative Urban Bank Ltd</t>
  </si>
  <si>
    <t>BASSEIN CATHOLIC CO-OP. BANK LTD</t>
  </si>
  <si>
    <t>Baroda UP Gramin Bank</t>
  </si>
  <si>
    <t>BARAN NAGRIK SAHKARI BANK LTD.</t>
  </si>
  <si>
    <t>Bank of Maharashtra</t>
  </si>
  <si>
    <t>Bank of India</t>
  </si>
  <si>
    <t>Bank of Bahrain &amp; Kuwait B S C</t>
  </si>
  <si>
    <t>Bandhan Bank</t>
  </si>
  <si>
    <t>BANASKANTHA DISTRICT CENTRAL CO-OP. BANK LTD.</t>
  </si>
  <si>
    <t>Balotra Urban Co-operative Bank Ltd.</t>
  </si>
  <si>
    <t>Balasinor Nag sah bank ltd</t>
  </si>
  <si>
    <t>AXIS BANK LTD</t>
  </si>
  <si>
    <t>AU Small Finance Bank Limited</t>
  </si>
  <si>
    <t>Associate Co-op Bank Ltd.</t>
  </si>
  <si>
    <t>Assam Gramin Vikash Bank</t>
  </si>
  <si>
    <t>Airtel Payments Bank</t>
  </si>
  <si>
    <t>Apna Sahakari Bank Ltd.</t>
  </si>
  <si>
    <t>AMRELI JILLA MADHYASTHA SAHAKARI BANK LTD.</t>
  </si>
  <si>
    <t>Ambajogai Peoples Co Op Bank Ltd.,Ambajogai</t>
  </si>
  <si>
    <t>Ambarnath Jai-Hind Co-operative Bank Ltd.</t>
  </si>
  <si>
    <t>ARYAVART BANK</t>
  </si>
  <si>
    <t>Akhand Anand Co-Op. Bank Ltd., Surat</t>
  </si>
  <si>
    <t>Ahmednagar Shahar Sahakari Bank Ltd.</t>
  </si>
  <si>
    <t>AHMEDNAGAR MERCHANTS CO-OP. BANK LTD., AHMEDNAGAR</t>
  </si>
  <si>
    <t>Agrasen Bank</t>
  </si>
  <si>
    <t>Adarsh Co-operative Bank</t>
  </si>
  <si>
    <t>Adarniya P D Patilsaheb Sahakari Bank Ltd., Karad</t>
  </si>
  <si>
    <t>Abhyudaya Co-op. Bank Ltd.</t>
  </si>
  <si>
    <t>Abhinav Sahakari Bank Ltd, Dombivali</t>
  </si>
  <si>
    <t>ABHINANDAN URBAN CO-OP BANK LTD., AMRAVATI</t>
  </si>
  <si>
    <t>A P MAHESH CO-OP URBAN BANK LTD</t>
  </si>
  <si>
    <t>Value (In Rs'000)</t>
  </si>
  <si>
    <t>Volume (Actual)</t>
  </si>
  <si>
    <t>Bank Name</t>
  </si>
  <si>
    <t>KOLHAPUR MAHILA SAHAKARI BANK LTD</t>
  </si>
  <si>
    <t>The Co-Operative Bank of Rajkot Ltd.,Rajkot</t>
  </si>
  <si>
    <t>Bank</t>
  </si>
  <si>
    <t>Volume Inward</t>
  </si>
  <si>
    <t>Volume Outward</t>
  </si>
  <si>
    <t>Value Outward (in Crore rupees)</t>
  </si>
  <si>
    <t>Value Inward (in Crore rupees)</t>
  </si>
  <si>
    <t>OUTWARD AMOUNT (Rs. Lakh)</t>
  </si>
  <si>
    <t>INWARD AMOUNT  (Rs. Lakh)</t>
  </si>
  <si>
    <t>NEFT</t>
  </si>
  <si>
    <t>OUTWARD TRANSACTIONS</t>
  </si>
  <si>
    <t>RTGS</t>
  </si>
  <si>
    <t>Outward Transactions</t>
  </si>
  <si>
    <t>Outward Amount (in Crore rupees)</t>
  </si>
  <si>
    <t>IMPS</t>
  </si>
  <si>
    <t>Transactions</t>
  </si>
  <si>
    <t>Amount(In Cr)</t>
  </si>
  <si>
    <t>UPI</t>
  </si>
  <si>
    <t xml:space="preserve"> Outward Amount (In Crore rupees)</t>
  </si>
  <si>
    <t>Payment Method</t>
  </si>
  <si>
    <t>Amount
(In Crore Rupees)</t>
  </si>
  <si>
    <t>Transactions (In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</si>
</sst>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71" formatCode="_ [$₹-4009]\ * #,##0.00_ ;_ [$₹-4009]\ * \-#,##0.00_ ;_ [$₹-4009]\ * &quot;-&quot;??_ ;_ @_ "/>
    <numFmt numFmtId="179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1" tint="4.9989318521683403E-2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0" fontId="1" fillId="0" borderId="0"/>
    <xf numFmtId="0" fontId="4" fillId="0" borderId="0"/>
    <xf numFmtId="0" fontId="9" fillId="3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1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2" fontId="7" fillId="0" borderId="1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right" vertical="center" wrapText="1"/>
    </xf>
    <xf numFmtId="1" fontId="5" fillId="2" borderId="1" xfId="4" applyNumberFormat="1" applyFont="1" applyFill="1" applyBorder="1" applyAlignment="1">
      <alignment horizontal="right"/>
    </xf>
    <xf numFmtId="0" fontId="5" fillId="2" borderId="1" xfId="4" applyFont="1" applyFill="1" applyBorder="1" applyAlignment="1">
      <alignment horizontal="right"/>
    </xf>
    <xf numFmtId="0" fontId="5" fillId="2" borderId="0" xfId="0" applyFont="1" applyFill="1"/>
    <xf numFmtId="0" fontId="5" fillId="0" borderId="3" xfId="0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right" vertical="center" wrapText="1"/>
    </xf>
    <xf numFmtId="0" fontId="5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2" borderId="3" xfId="0" applyFont="1" applyFill="1" applyBorder="1"/>
    <xf numFmtId="0" fontId="4" fillId="2" borderId="3" xfId="0" applyFont="1" applyFill="1" applyBorder="1"/>
    <xf numFmtId="1" fontId="4" fillId="2" borderId="3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5" fillId="2" borderId="3" xfId="5" applyFont="1" applyFill="1" applyBorder="1"/>
    <xf numFmtId="0" fontId="12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left" wrapText="1"/>
    </xf>
    <xf numFmtId="1" fontId="5" fillId="2" borderId="3" xfId="0" applyNumberFormat="1" applyFont="1" applyFill="1" applyBorder="1"/>
    <xf numFmtId="1" fontId="4" fillId="2" borderId="3" xfId="0" applyNumberFormat="1" applyFont="1" applyFill="1" applyBorder="1"/>
    <xf numFmtId="1" fontId="5" fillId="2" borderId="4" xfId="4" applyNumberFormat="1" applyFont="1" applyFill="1" applyBorder="1" applyAlignment="1">
      <alignment horizontal="right"/>
    </xf>
    <xf numFmtId="2" fontId="5" fillId="2" borderId="4" xfId="4" applyNumberFormat="1" applyFont="1" applyFill="1" applyBorder="1" applyAlignment="1">
      <alignment horizontal="right"/>
    </xf>
    <xf numFmtId="1" fontId="11" fillId="2" borderId="5" xfId="4" applyNumberFormat="1" applyFont="1" applyFill="1" applyBorder="1" applyAlignment="1">
      <alignment horizontal="center" vertical="center"/>
    </xf>
    <xf numFmtId="1" fontId="10" fillId="2" borderId="2" xfId="4" applyNumberFormat="1" applyFont="1" applyFill="1" applyBorder="1" applyAlignment="1">
      <alignment horizontal="center" vertical="center"/>
    </xf>
    <xf numFmtId="1" fontId="10" fillId="2" borderId="6" xfId="4" applyNumberFormat="1" applyFont="1" applyFill="1" applyBorder="1" applyAlignment="1">
      <alignment horizontal="center" vertical="center"/>
    </xf>
    <xf numFmtId="0" fontId="13" fillId="0" borderId="0" xfId="0" applyFont="1" applyAlignment="1"/>
    <xf numFmtId="2" fontId="0" fillId="0" borderId="0" xfId="0" applyNumberFormat="1"/>
    <xf numFmtId="0" fontId="13" fillId="0" borderId="0" xfId="0" applyFont="1" applyBorder="1" applyAlignment="1">
      <alignment horizontal="center"/>
    </xf>
    <xf numFmtId="0" fontId="14" fillId="4" borderId="1" xfId="0" applyFont="1" applyFill="1" applyBorder="1"/>
    <xf numFmtId="179" fontId="0" fillId="0" borderId="1" xfId="6" applyNumberFormat="1" applyFont="1" applyBorder="1"/>
    <xf numFmtId="171" fontId="0" fillId="0" borderId="1" xfId="0" applyNumberFormat="1" applyBorder="1"/>
    <xf numFmtId="0" fontId="0" fillId="0" borderId="1" xfId="0" applyBorder="1"/>
    <xf numFmtId="179" fontId="0" fillId="0" borderId="1" xfId="0" applyNumberFormat="1" applyBorder="1"/>
    <xf numFmtId="0" fontId="15" fillId="0" borderId="1" xfId="0" applyFont="1" applyBorder="1"/>
    <xf numFmtId="171" fontId="0" fillId="0" borderId="1" xfId="7" applyNumberFormat="1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1" fontId="0" fillId="0" borderId="0" xfId="0" applyNumberFormat="1" applyFont="1" applyBorder="1"/>
    <xf numFmtId="171" fontId="0" fillId="0" borderId="0" xfId="0" applyNumberFormat="1" applyBorder="1"/>
    <xf numFmtId="171" fontId="0" fillId="0" borderId="0" xfId="7" applyNumberFormat="1" applyFont="1" applyBorder="1" applyAlignment="1">
      <alignment horizontal="right"/>
    </xf>
    <xf numFmtId="2" fontId="0" fillId="5" borderId="0" xfId="0" applyNumberFormat="1" applyFill="1"/>
    <xf numFmtId="171" fontId="0" fillId="5" borderId="0" xfId="0" applyNumberFormat="1" applyFont="1" applyFill="1" applyBorder="1"/>
  </cellXfs>
  <cellStyles count="8">
    <cellStyle name="Comma" xfId="6" builtinId="3"/>
    <cellStyle name="Currency" xfId="7" builtinId="4"/>
    <cellStyle name="Neutral 2" xfId="5" xr:uid="{00000000-0005-0000-0000-000000000000}"/>
    <cellStyle name="Normal" xfId="0" builtinId="0"/>
    <cellStyle name="Normal 2" xfId="2" xr:uid="{00000000-0005-0000-0000-000002000000}"/>
    <cellStyle name="Normal 2 2" xfId="1" xr:uid="{00000000-0005-0000-0000-000003000000}"/>
    <cellStyle name="Normal 2 3" xfId="3" xr:uid="{00000000-0005-0000-0000-000004000000}"/>
    <cellStyle name="Normal 2 3 2" xfId="4" xr:uid="{00000000-0005-0000-0000-000005000000}"/>
  </cellStyles>
  <dxfs count="138">
    <dxf>
      <numFmt numFmtId="2" formatCode="0.00"/>
    </dxf>
    <dxf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0"/>
      </font>
    </dxf>
    <dxf>
      <font>
        <sz val="1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9" formatCode="_(* #,##0_);_(* \(#,##0\);_(* &quot;-&quot;??_);_(@_)"/>
    </dxf>
    <dxf>
      <numFmt numFmtId="178" formatCode="_(* #,##0.0_);_(* \(#,##0.0\);_(* &quot;-&quot;??_);_(@_)"/>
    </dxf>
    <dxf>
      <numFmt numFmtId="179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8" formatCode="_(* #,##0.0_);_(* \(#,##0.0\);_(* &quot;-&quot;??_);_(@_)"/>
    </dxf>
    <dxf>
      <numFmt numFmtId="35" formatCode="_(* #,##0.00_);_(* \(#,##0.0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35" formatCode="_(* #,##0.00_);_(* \(#,##0.00\);_(* &quot;-&quot;??_);_(@_)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" formatCode="0"/>
    </dxf>
    <dxf>
      <numFmt numFmtId="178" formatCode="_(* #,##0.0_);_(* \(#,##0.0\);_(* &quot;-&quot;??_);_(@_)"/>
    </dxf>
    <dxf>
      <numFmt numFmtId="179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8" formatCode="_(* #,##0.0_);_(* \(#,##0.0\);_(* &quot;-&quot;??_);_(@_)"/>
    </dxf>
    <dxf>
      <numFmt numFmtId="35" formatCode="_(* #,##0.00_);_(* \(#,##0.0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35" formatCode="_(* #,##0.00_);_(* \(#,##0.00\);_(* &quot;-&quot;??_);_(@_)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" formatCode="0"/>
    </dxf>
    <dxf>
      <numFmt numFmtId="164" formatCode="0.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64" formatCode="0.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" formatCode="0"/>
    </dxf>
    <dxf>
      <numFmt numFmtId="164" formatCode="0.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64" formatCode="0.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2" formatCode="0.00"/>
    </dxf>
    <dxf>
      <numFmt numFmtId="164" formatCode="0.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64" formatCode="0.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2" formatCode="0.00"/>
    </dxf>
    <dxf>
      <numFmt numFmtId="175" formatCode="_ [$₹-4009]\ * #,##0_ ;_ [$₹-4009]\ * \-#,##0_ ;_ [$₹-4009]\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5" formatCode="_ [$₹-4009]\ * #,##0_ ;_ [$₹-4009]\ * \-#,##0_ ;_ [$₹-4009]\ * &quot;-&quot;??_ ;_ @_ "/>
    </dxf>
    <dxf>
      <numFmt numFmtId="175" formatCode="_ [$₹-4009]\ * #,##0_ ;_ [$₹-4009]\ * \-#,##0_ ;_ [$₹-4009]\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5" formatCode="_ [$₹-4009]\ * #,##0_ ;_ [$₹-4009]\ * \-#,##0_ ;_ [$₹-4009]\ * &quot;-&quot;??_ ;_ @_ "/>
    </dxf>
    <dxf>
      <numFmt numFmtId="174" formatCode="_ [$₹-4009]\ * #,##0.0_ ;_ [$₹-4009]\ * \-#,##0.0_ ;_ [$₹-4009]\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4" formatCode="_ [$₹-4009]\ * #,##0.0_ ;_ [$₹-4009]\ * \-#,##0.0_ ;_ [$₹-4009]\ * &quot;-&quot;??_ ;_ @_ "/>
    </dxf>
    <dxf>
      <numFmt numFmtId="171" formatCode="_ [$₹-4009]\ * #,##0.00_ ;_ [$₹-4009]\ * \-#,##0.00_ ;_ [$₹-4009]\ * &quot;-&quot;??_ ;_ @_ "/>
    </dxf>
    <dxf>
      <numFmt numFmtId="171" formatCode="_ [$₹-4009]\ * #,##0.00_ ;_ [$₹-4009]\ * \-#,##0.00_ ;_ [$₹-4009]\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sh" refreshedDate="44845.889898032408" createdVersion="8" refreshedVersion="8" minRefreshableVersion="3" recordCount="237" xr:uid="{38ED89E9-19BF-4D15-9029-8FB08A900E57}">
  <cacheSource type="worksheet">
    <worksheetSource name="RTGS"/>
  </cacheSource>
  <cacheFields count="5">
    <cacheField name="Bank" numFmtId="0">
      <sharedItems/>
    </cacheField>
    <cacheField name="Volume Inward" numFmtId="1">
      <sharedItems containsSemiMixedTypes="0" containsString="0" containsNumber="1" containsInteger="1" minValue="0" maxValue="3128156"/>
    </cacheField>
    <cacheField name="Value Inward (in Crore rupees)" numFmtId="2">
      <sharedItems containsSemiMixedTypes="0" containsString="0" containsNumber="1" minValue="0" maxValue="1840034.09515383"/>
    </cacheField>
    <cacheField name="Volume Outward" numFmtId="1">
      <sharedItems containsSemiMixedTypes="0" containsString="0" containsNumber="1" containsInteger="1" minValue="0" maxValue="2678588"/>
    </cacheField>
    <cacheField name="Value Outward (in Crore rupees)" numFmtId="2">
      <sharedItems containsSemiMixedTypes="0" containsString="0" containsNumber="1" minValue="0" maxValue="2094573.4563470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sh" refreshedDate="44845.891790856484" createdVersion="8" refreshedVersion="8" minRefreshableVersion="3" recordCount="224" xr:uid="{9C32B515-4BBE-494C-8919-7D6575A688B4}">
  <cacheSource type="worksheet">
    <worksheetSource name="NEFT"/>
  </cacheSource>
  <cacheFields count="6">
    <cacheField name="Bank Name" numFmtId="0">
      <sharedItems/>
    </cacheField>
    <cacheField name="NO. OF OUTWARD TRANSACTIONS" numFmtId="0">
      <sharedItems containsSemiMixedTypes="0" containsString="0" containsNumber="1" containsInteger="1" minValue="0" maxValue="47205130"/>
    </cacheField>
    <cacheField name="OUTWARD AMOUNT (Rs. Lakh)" numFmtId="164">
      <sharedItems containsSemiMixedTypes="0" containsString="0" containsNumber="1" minValue="0" maxValue="30320326.2225352"/>
    </cacheField>
    <cacheField name="NO. OF INWARD TRANSACTIONS" numFmtId="0">
      <sharedItems containsSemiMixedTypes="0" containsString="0" containsNumber="1" containsInteger="1" minValue="2" maxValue="78617798"/>
    </cacheField>
    <cacheField name="INWARD AMOUNT  (Rs. Lakh)" numFmtId="164">
      <sharedItems containsSemiMixedTypes="0" containsString="0" containsNumber="1" minValue="5.0999999999999997E-2" maxValue="37640060.046395294"/>
    </cacheField>
    <cacheField name="Outward Amount (In Crore rupees)" numFmtId="0" formula="'OUTWARD AMOUNT (Rs. Lakh)' /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ABHYUDAYA CO-OPERATIVE BANK LTD"/>
    <n v="7388"/>
    <n v="830.40153470600001"/>
    <n v="12688"/>
    <n v="1143.4143568540001"/>
  </r>
  <r>
    <s v="AHMEDNAGAR MERCHANT'S CO-OP. BANK LTD. AHMEDNAGAR"/>
    <n v="2410"/>
    <n v="468.94153354399998"/>
    <n v="6290"/>
    <n v="519.82171442499998"/>
  </r>
  <r>
    <s v="AIRTEL PAYMENTS BANK LTD."/>
    <n v="24395"/>
    <n v="4562.869745903"/>
    <n v="83"/>
    <n v="2728.18"/>
  </r>
  <r>
    <s v="ALMORA URBAN CO-OPERATIVE BANK LTD."/>
    <n v="809"/>
    <n v="56.835212765000001"/>
    <n v="2366"/>
    <n v="136.64183131300001"/>
  </r>
  <r>
    <s v="AMBARNATH JAI-HIND CO-OP. BANK LTD."/>
    <n v="303"/>
    <n v="20.471051859999999"/>
    <n v="589"/>
    <n v="34.374424214000001"/>
  </r>
  <r>
    <s v="ANDHRA PRADESH GRAMEENA VIKAS BANK"/>
    <n v="2588"/>
    <n v="2593.0302337399999"/>
    <n v="12182"/>
    <n v="5164.8522488119997"/>
  </r>
  <r>
    <s v="ANDHRA PRADESH STATE CO-OPERATIVE BANK LTD."/>
    <n v="1812"/>
    <n v="1979.528862037"/>
    <n v="473"/>
    <n v="1593.984126861"/>
  </r>
  <r>
    <s v="ANDHRA PRAGATHI GRAMEENA BANK"/>
    <n v="4204"/>
    <n v="1610.037874419"/>
    <n v="9360"/>
    <n v="2145.161210278"/>
  </r>
  <r>
    <s v="APNA SAHAKARI BANK LTD."/>
    <n v="3026"/>
    <n v="1389.667015796"/>
    <n v="4505"/>
    <n v="1581.899838346"/>
  </r>
  <r>
    <s v="ARVIND SAHAKARI BANK LTD."/>
    <n v="234"/>
    <n v="38.156104499999998"/>
    <n v="757"/>
    <n v="46.327459001999998"/>
  </r>
  <r>
    <s v="AU SMALL FINANCE BANK LIMITED"/>
    <n v="52335"/>
    <n v="15550.798362334999"/>
    <n v="63360"/>
    <n v="16779.361034892001"/>
  </r>
  <r>
    <s v="AUSTRALIA AND NEW ZEALAND BANKING GROUP LIMITED"/>
    <n v="2239"/>
    <n v="6775.9077112060004"/>
    <n v="2412"/>
    <n v="9539.4059010180008"/>
  </r>
  <r>
    <s v="AXIS BANK"/>
    <n v="1267364"/>
    <n v="807983.16429356602"/>
    <n v="1057110"/>
    <n v="873199.90564669704"/>
  </r>
  <r>
    <s v="BANDHAN BANK LIMITED"/>
    <n v="53102"/>
    <n v="19058.339066804001"/>
    <n v="92497"/>
    <n v="15988.862780054"/>
  </r>
  <r>
    <s v="BANK OF AMERICA NA"/>
    <n v="29004"/>
    <n v="66273.091161521996"/>
    <n v="12653"/>
    <n v="54406.516189622998"/>
  </r>
  <r>
    <s v="BANK OF BAHRAIN &amp; KUWAIT B S C"/>
    <n v="454"/>
    <n v="258.93966483999998"/>
    <n v="198"/>
    <n v="153.27245583999999"/>
  </r>
  <r>
    <s v="BANK OF BARODA"/>
    <n v="608007"/>
    <n v="134647.01325053599"/>
    <n v="755757"/>
    <n v="156480.288818848"/>
  </r>
  <r>
    <s v="BANK OF CEYLON"/>
    <n v="255"/>
    <n v="88.939079253000003"/>
    <n v="526"/>
    <n v="112.402136207"/>
  </r>
  <r>
    <s v="BANK OF INDIA"/>
    <n v="329102"/>
    <n v="122095.00561823"/>
    <n v="490162"/>
    <n v="148276.68742500601"/>
  </r>
  <r>
    <s v="BANK OF MAHARASHTRA"/>
    <n v="122314"/>
    <n v="31393.0766649"/>
    <n v="156322"/>
    <n v="35281.747860115"/>
  </r>
  <r>
    <s v="BARCLAYS BANK PLC"/>
    <n v="3901"/>
    <n v="21025.442926008"/>
    <n v="4424"/>
    <n v="21497.234218279998"/>
  </r>
  <r>
    <s v="BASSEIN CATHOLIC CO-OPERATIVE BANK LTD."/>
    <n v="4552"/>
    <n v="440.37033047199998"/>
    <n v="6448"/>
    <n v="758.96572905000005"/>
  </r>
  <r>
    <s v="BHAGINI NIVEDITA SAHAKARI BANK LTD, PUNE"/>
    <n v="171"/>
    <n v="14.441733586"/>
    <n v="527"/>
    <n v="49.431563666000002"/>
  </r>
  <r>
    <s v="BNP PARIBAS"/>
    <n v="197527"/>
    <n v="52725.354419026"/>
    <n v="7845"/>
    <n v="57510.140518134001"/>
  </r>
  <r>
    <s v="BOMBAY MERCANTILE CO-OPERATIVE BANK LTD."/>
    <n v="871"/>
    <n v="164.681721649"/>
    <n v="4476"/>
    <n v="368.80664492099999"/>
  </r>
  <r>
    <s v="CANARA BANK "/>
    <n v="469050"/>
    <n v="149393.26325983601"/>
    <n v="582498"/>
    <n v="196322.46910205699"/>
  </r>
  <r>
    <s v="CAPITAL SMALL FINANCE BANK LIMITED"/>
    <n v="9773"/>
    <n v="877.20782129700001"/>
    <n v="14804"/>
    <n v="1030.980968736"/>
  </r>
  <r>
    <s v="CATHOLIC SYRIAN BANK LTD"/>
    <n v="15924"/>
    <n v="2831.1322069950002"/>
    <n v="16732"/>
    <n v="2661.0734386640002"/>
  </r>
  <r>
    <s v="CENTRAL BANK OF INDIA"/>
    <n v="191984"/>
    <n v="121483.05466804199"/>
    <n v="288228"/>
    <n v="126141.73516868999"/>
  </r>
  <r>
    <s v="CITI BANK N.A."/>
    <n v="246692"/>
    <n v="437888.37949847698"/>
    <n v="174665"/>
    <n v="420422.079666326"/>
  </r>
  <r>
    <s v="CITIZEN CREDIT CO-OP BANK LTD."/>
    <n v="1386"/>
    <n v="265.11496934899998"/>
    <n v="1222"/>
    <n v="243.60398088700001"/>
  </r>
  <r>
    <s v="CITY UNION BANK"/>
    <n v="92310"/>
    <n v="11325.378433918"/>
    <n v="103101"/>
    <n v="11364.395359781"/>
  </r>
  <r>
    <s v="COASTAL LOCAL AREA BANK LTD."/>
    <n v="476"/>
    <n v="29.790587855999998"/>
    <n v="1285"/>
    <n v="79.448769690999995"/>
  </r>
  <r>
    <s v="COOPERATIEVE RABOBANK U.A."/>
    <n v="546"/>
    <n v="2935.558594565"/>
    <n v="621"/>
    <n v="2961.059932051"/>
  </r>
  <r>
    <s v="CREDIT AGRICOLE CORPORATE AND INVESTMENT BANK"/>
    <n v="1116"/>
    <n v="6580.1840264350003"/>
    <n v="515"/>
    <n v="8120.2351450850001"/>
  </r>
  <r>
    <s v="CREDIT SUISSE AG"/>
    <n v="184"/>
    <n v="2248.2663727650001"/>
    <n v="183"/>
    <n v="2446.6540320459999"/>
  </r>
  <r>
    <s v="CTBC Bank CO., Ltd."/>
    <n v="392"/>
    <n v="994.69804927200005"/>
    <n v="453"/>
    <n v="985.775886044"/>
  </r>
  <r>
    <s v="DBS BANK INDIA LIMITED"/>
    <n v="33697"/>
    <n v="24550.290713738999"/>
    <n v="24604"/>
    <n v="23728.487830597998"/>
  </r>
  <r>
    <s v="DCB BANK LTD."/>
    <n v="33597"/>
    <n v="6438.2727418820004"/>
    <n v="36773"/>
    <n v="6603.5199744729998"/>
  </r>
  <r>
    <s v="DEOGIRI NAGARI SAHAKARI BANK LTD AURANGABAD"/>
    <n v="995"/>
    <n v="151.75624420299999"/>
    <n v="1247"/>
    <n v="160.35050017200001"/>
  </r>
  <r>
    <s v="DEPOSIT INSURANCE AND CREDIT GUARANTEE CORPORATION"/>
    <n v="18"/>
    <n v="124.70862030000001"/>
    <n v="0"/>
    <n v="0"/>
  </r>
  <r>
    <s v="DEUTSCHE BANK AG"/>
    <n v="87955"/>
    <n v="393108.06082769303"/>
    <n v="31954"/>
    <n v="386774.99507779698"/>
  </r>
  <r>
    <s v="DHANLAXMI BANK LTD."/>
    <n v="11652"/>
    <n v="1521.2150788500001"/>
    <n v="16052"/>
    <n v="1820.974159722"/>
  </r>
  <r>
    <s v="DMK JAOLI SAHAKARI BANK LTD."/>
    <n v="475"/>
    <n v="33.522857483000003"/>
    <n v="658"/>
    <n v="41.470369214999998"/>
  </r>
  <r>
    <s v="DOHA BANK"/>
    <n v="375"/>
    <n v="77.472275843999995"/>
    <n v="463"/>
    <n v="147.017243474"/>
  </r>
  <r>
    <s v="DOMBIVLI NAGARI SAHAKARI BANK"/>
    <n v="2915"/>
    <n v="385.70391722400001"/>
    <n v="4152"/>
    <n v="495.51056541399998"/>
  </r>
  <r>
    <s v="DURGAPUR STEEL PEOPLES' CO-OP BANK LTD "/>
    <n v="105"/>
    <n v="19.535018823000001"/>
    <n v="275"/>
    <n v="51.711626725999999"/>
  </r>
  <r>
    <s v="EMIRATES NBD BANK PJSC"/>
    <n v="186"/>
    <n v="943.40527120100001"/>
    <n v="255"/>
    <n v="2344.5279520270001"/>
  </r>
  <r>
    <s v="EQUITAS SMALL FINANCE BANK LTD."/>
    <n v="22754"/>
    <n v="4679.9282315760001"/>
    <n v="24309"/>
    <n v="5850.7945642329996"/>
  </r>
  <r>
    <s v="ESAF SMALL FINANCE BANK LTD."/>
    <n v="4431"/>
    <n v="700.83768646800002"/>
    <n v="9761"/>
    <n v="1121.3939390319999"/>
  </r>
  <r>
    <s v="EXPORT IMPORT BANK OF INDIA "/>
    <n v="233"/>
    <n v="4289.5958579139997"/>
    <n v="60"/>
    <n v="7165.337110595"/>
  </r>
  <r>
    <s v="FEDERAL BANK LTD."/>
    <n v="165823"/>
    <n v="48691.750963514001"/>
    <n v="197437"/>
    <n v="49598.646504793003"/>
  </r>
  <r>
    <s v="FINCARE SMALL FINANCE BANK LIMITED"/>
    <n v="2981"/>
    <n v="632.18695238199996"/>
    <n v="3933"/>
    <n v="890.53772495600003"/>
  </r>
  <r>
    <s v="FINO PAYMENTS BANK LIMITED"/>
    <n v="8485"/>
    <n v="3395.0013243570002"/>
    <n v="3838"/>
    <n v="3134.3353868849999"/>
  </r>
  <r>
    <s v="FIRST ABU DHABI BANK PJSC"/>
    <n v="32"/>
    <n v="304.03864089299998"/>
    <n v="37"/>
    <n v="980.06607058500003"/>
  </r>
  <r>
    <s v="FIRST RAND BANK LTD"/>
    <n v="3"/>
    <n v="0.30550302699999998"/>
    <n v="10"/>
    <n v="73.367609813000001"/>
  </r>
  <r>
    <s v="GOLDMAN SACHS INDIA CAPITAL MARKETS PVT LTD. "/>
    <n v="37"/>
    <n v="9916"/>
    <n v="37"/>
    <n v="9919.92"/>
  </r>
  <r>
    <s v="GP PARSIK SAHAKARI BANK LTD., KALWA, THANE"/>
    <n v="5001"/>
    <n v="2145.7280068539999"/>
    <n v="7276"/>
    <n v="2217.4433108339999"/>
  </r>
  <r>
    <s v="GS MAHANAGAR CO-OPERATIVE BANK LIMITED, MUMBAI"/>
    <n v="2380"/>
    <n v="686.88410326400003"/>
    <n v="4429"/>
    <n v="763.80500323399997"/>
  </r>
  <r>
    <s v="HDFC BANK LTD."/>
    <n v="3128156"/>
    <n v="1840034.09515383"/>
    <n v="2678588"/>
    <n v="2094573.4563470499"/>
  </r>
  <r>
    <s v="ICICI BANK LTD."/>
    <n v="1739222"/>
    <n v="1084367.7208410201"/>
    <n v="1733468"/>
    <n v="1108818.804396"/>
  </r>
  <r>
    <s v="ICICI SECURITIES PRIMARY DEALERSHIP LTD."/>
    <n v="401"/>
    <n v="58646.901151477003"/>
    <n v="290"/>
    <n v="59182.471949594001"/>
  </r>
  <r>
    <s v="IDBI BANK LTD."/>
    <n v="383026"/>
    <n v="179913.21479260101"/>
    <n v="319094"/>
    <n v="157331.69807293199"/>
  </r>
  <r>
    <s v="IDFC FIRST Bank Limited"/>
    <n v="125037"/>
    <n v="58073.893825168998"/>
    <n v="170706"/>
    <n v="51010.259387457998"/>
  </r>
  <r>
    <s v="Idukki District Cooperative Bank Limited"/>
    <n v="672"/>
    <n v="63.158591342999998"/>
    <n v="1348"/>
    <n v="153.02218047700001"/>
  </r>
  <r>
    <s v="INDIAN BANK"/>
    <n v="263486"/>
    <n v="88055.697452844004"/>
    <n v="362924"/>
    <n v="80916.644161819"/>
  </r>
  <r>
    <s v="INDIAN CLEARING CORPORATION LTD. "/>
    <n v="5785"/>
    <n v="14717.328366672"/>
    <n v="3149"/>
    <n v="14550.259103376"/>
  </r>
  <r>
    <s v="INDIAN OVERSEAS BANK"/>
    <n v="156237"/>
    <n v="33954.457944686001"/>
    <n v="162658"/>
    <n v="34523.700913335997"/>
  </r>
  <r>
    <s v="INDIA POST PAYMENTS BANK LIMITED"/>
    <n v="1734"/>
    <n v="251.74730454900001"/>
    <n v="1756"/>
    <n v="113.554478014"/>
  </r>
  <r>
    <s v="INDUSIND BANK LTD."/>
    <n v="283860"/>
    <n v="123824.96697608499"/>
    <n v="261147"/>
    <n v="128365.404627859"/>
  </r>
  <r>
    <s v="INDUSTRIAL AND COMMERCIAL BANK OF CHINA LTD."/>
    <n v="359"/>
    <n v="1156.0161377659999"/>
    <n v="182"/>
    <n v="1306.5178912710001"/>
  </r>
  <r>
    <s v="INDUSTRIAL BANK OF KOREA"/>
    <n v="161"/>
    <n v="847.38888806700004"/>
    <n v="365"/>
    <n v="969.266999027"/>
  </r>
  <r>
    <s v="IRINJALAKUDA TOWN COOPERATIVE BANK LTD"/>
    <n v="159"/>
    <n v="19.345544709999999"/>
    <n v="660"/>
    <n v="45.7255939"/>
  </r>
  <r>
    <s v="JALGAON JANATA SAHAKARI BANK LTD."/>
    <n v="1870"/>
    <n v="290.51102563500001"/>
    <n v="3209"/>
    <n v="331.512732196"/>
  </r>
  <r>
    <s v="JANASEVA SAHAKARI BANK (BORIVLI) LTD."/>
    <n v="397"/>
    <n v="446.274414014"/>
    <n v="464"/>
    <n v="450.69224700400002"/>
  </r>
  <r>
    <s v="JANASEVA SAHAKARI BANK LTD., PUNE"/>
    <n v="1336"/>
    <n v="139.33008021500001"/>
    <n v="1843"/>
    <n v="180.38264155300001"/>
  </r>
  <r>
    <s v="JANA SMALL FINANCE BANK LIMITED"/>
    <n v="4841"/>
    <n v="4102.6741070529997"/>
    <n v="4913"/>
    <n v="4271.52150463"/>
  </r>
  <r>
    <s v="JANATA SAHAKARI BANK LTD., PUNE"/>
    <n v="7409"/>
    <n v="1068.1980506479999"/>
    <n v="11641"/>
    <n v="1506.3654421450001"/>
  </r>
  <r>
    <s v="JANATHA SEVA CO-OPERATIVE BANK LTD. "/>
    <n v="113"/>
    <n v="10.592249300000001"/>
    <n v="596"/>
    <n v="49.756969499999997"/>
  </r>
  <r>
    <s v="JANKALYAN SAHAKARI BANK LTD."/>
    <n v="1710"/>
    <n v="239.55121346199999"/>
    <n v="2005"/>
    <n v="262.97607457599997"/>
  </r>
  <r>
    <s v="Jila Sahakari Kendriya Bank Maryadit, Rajnandgaon "/>
    <n v="20"/>
    <n v="0.89578590000000002"/>
    <n v="77"/>
    <n v="5.0448260789999999"/>
  </r>
  <r>
    <s v="JIO PAYMENTS BANK LIMITED"/>
    <n v="79"/>
    <n v="6.0921429280000003"/>
    <n v="113"/>
    <n v="78.809947605999994"/>
  </r>
  <r>
    <s v="JP MORGAN CHASE BANK"/>
    <n v="12997"/>
    <n v="49812.22280145"/>
    <n v="12522"/>
    <n v="45949.791254399002"/>
  </r>
  <r>
    <s v="KALLAPPANNA AWADE ICHALKARANJI JANATA SAH BANK LTD"/>
    <n v="3584"/>
    <n v="575.57315325900004"/>
    <n v="5271"/>
    <n v="676.336010719"/>
  </r>
  <r>
    <s v="KARNATAKA BANK LTD"/>
    <n v="83521"/>
    <n v="10954.009812975"/>
    <n v="103115"/>
    <n v="12767.277350072"/>
  </r>
  <r>
    <s v="KARNATAKA GRAMIN BANK"/>
    <n v="9472"/>
    <n v="3172.7431048899998"/>
    <n v="19998"/>
    <n v="2539.439995408"/>
  </r>
  <r>
    <s v="KARNATAKA STATE CO-OPERATIVE APEX BANK LTD."/>
    <n v="5462"/>
    <n v="5077.6185618509999"/>
    <n v="12398"/>
    <n v="5136.285141024"/>
  </r>
  <r>
    <s v="KARNATAKA VIKAS GRAMEENA BANK"/>
    <n v="5982"/>
    <n v="1101.390336142"/>
    <n v="13916"/>
    <n v="1240.676338324"/>
  </r>
  <r>
    <s v="KARUR VYSYA BANK"/>
    <n v="151355"/>
    <n v="20087.389373777001"/>
    <n v="182725"/>
    <n v="21555.043127182002"/>
  </r>
  <r>
    <s v="KEB HANA BANK"/>
    <n v="341"/>
    <n v="3921.145542278"/>
    <n v="250"/>
    <n v="3910.3545077160002"/>
  </r>
  <r>
    <s v="KERALA GRAMIN BANK"/>
    <n v="6532"/>
    <n v="3303.1554546289999"/>
    <n v="11303"/>
    <n v="4247.3564900290003"/>
  </r>
  <r>
    <s v="KOLHAPUR URBAN COOPERATIVE BANK LTD"/>
    <n v="152"/>
    <n v="12.266641288000001"/>
    <n v="464"/>
    <n v="28.904348398"/>
  </r>
  <r>
    <s v="KOOKMIN BANK"/>
    <n v="83"/>
    <n v="2528.4036903030001"/>
    <n v="101"/>
    <n v="2526.5352967539998"/>
  </r>
  <r>
    <s v="KOTAK MAHINDRA BANK LTD."/>
    <n v="797098"/>
    <n v="271878.750525899"/>
    <n v="801680"/>
    <n v="307875.81243542797"/>
  </r>
  <r>
    <s v="KRUNG THAI BANK PLC"/>
    <n v="1"/>
    <n v="6.1038799999999997E-2"/>
    <n v="8"/>
    <n v="35.905846879999999"/>
  </r>
  <r>
    <s v="KURMANCHAL NAGAR SAHAKARI BANK LTD."/>
    <n v="2056"/>
    <n v="130.64546057300001"/>
    <n v="4394"/>
    <n v="255.629679934"/>
  </r>
  <r>
    <s v="MAHARASHTRA GRAMIN BANK"/>
    <n v="5307"/>
    <n v="2602.4068222760002"/>
    <n v="10362"/>
    <n v="2798.1403507479999"/>
  </r>
  <r>
    <s v="MAHESH SAHAKARI BANK LIMITED, PUNE"/>
    <n v="1617"/>
    <n v="141.801877305"/>
    <n v="2354"/>
    <n v="281.32970602199998"/>
  </r>
  <r>
    <s v="MASHREQBANK PSC"/>
    <n v="187"/>
    <n v="481.789721165"/>
    <n v="90"/>
    <n v="439.74577674699998"/>
  </r>
  <r>
    <s v="MEHSANA URBAN CO-OPERATIVE BANK LTD."/>
    <n v="13050"/>
    <n v="1607.233391646"/>
    <n v="19644"/>
    <n v="2102.0543677249998"/>
  </r>
  <r>
    <s v="MIZUHO BANK LTD."/>
    <n v="4363"/>
    <n v="15784.287447023"/>
    <n v="5841"/>
    <n v="17310.206083686"/>
  </r>
  <r>
    <s v="MODEL CO-OP. BANK LTD."/>
    <n v="416"/>
    <n v="52.410021084"/>
    <n v="763"/>
    <n v="324.154479482"/>
  </r>
  <r>
    <s v="MORGAN STANLEY INDIA PRIMARY DEALER PVT LTD."/>
    <n v="36"/>
    <n v="5072.9125430000004"/>
    <n v="33"/>
    <n v="4401.9811976000001"/>
  </r>
  <r>
    <s v="MUFG Bank, Ltd."/>
    <n v="4916"/>
    <n v="11136.508613647"/>
    <n v="7133"/>
    <n v="11054.718204596"/>
  </r>
  <r>
    <s v="MUMBAI DISTRICT CENTRAL CO-OPERATIVE BANK LTD."/>
    <n v="1849"/>
    <n v="468.66516570200002"/>
    <n v="1513"/>
    <n v="570.01250005600002"/>
  </r>
  <r>
    <s v="NABARD"/>
    <n v="338"/>
    <n v="69037.316305531"/>
    <n v="1619"/>
    <n v="110592.57298767001"/>
  </r>
  <r>
    <s v="NAGAR URBAN COOPERATIVE BANK LTD"/>
    <n v="1309"/>
    <n v="361.65437051700002"/>
    <n v="2505"/>
    <n v="359.37931178999997"/>
  </r>
  <r>
    <s v="NAGPUR NAGRIK SAHAKARI BANK LTD."/>
    <n v="2702"/>
    <n v="395.20670430899997"/>
    <n v="4507"/>
    <n v="475.128171485"/>
  </r>
  <r>
    <s v="NASIK MERCHANTS CO-OPERATIVE BANK LTD."/>
    <n v="1988"/>
    <n v="184.85260948499999"/>
    <n v="3322"/>
    <n v="209.86519978999999"/>
  </r>
  <r>
    <s v="NATWEST MARKETS PLC"/>
    <n v="6"/>
    <n v="5.2997493999999996"/>
    <n v="9"/>
    <n v="19.045439500000001"/>
  </r>
  <r>
    <s v="NEW INDIA CO-OPERATIVE BANK LTD."/>
    <n v="1582"/>
    <n v="174.197706098"/>
    <n v="2163"/>
    <n v="238.62842651400001"/>
  </r>
  <r>
    <s v="NILAMBUR CO-OPERATIVE URBAN BANK"/>
    <n v="210"/>
    <n v="11.61566479"/>
    <n v="498"/>
    <n v="30.264169015"/>
  </r>
  <r>
    <s v="NKGSB CO-OPERATIVE BANK LTD."/>
    <n v="4949"/>
    <n v="586.48386604899997"/>
    <n v="5685"/>
    <n v="663.46110662800004"/>
  </r>
  <r>
    <s v="NOMURA FIXED INCOME SECURITIES PVT LTD."/>
    <n v="87"/>
    <n v="20585.47332641"/>
    <n v="87"/>
    <n v="20584.388375898001"/>
  </r>
  <r>
    <s v="NORTH EAST SMALL FINANCE BANK LIMITED"/>
    <n v="155"/>
    <n v="20.342263347999999"/>
    <n v="775"/>
    <n v="46.257435000000001"/>
  </r>
  <r>
    <s v="NSDL Payments Bank Limited"/>
    <n v="4970"/>
    <n v="4928.6451839800002"/>
    <n v="1131"/>
    <n v="4215.0928242709997"/>
  </r>
  <r>
    <s v="NSE Clearing Limited"/>
    <n v="5089"/>
    <n v="159748.229637223"/>
    <n v="6232"/>
    <n v="159748.229637223"/>
  </r>
  <r>
    <s v="NUTAN NAGARIK SAHAKARI BANK LTD."/>
    <n v="5505"/>
    <n v="536.61036660399998"/>
    <n v="7062"/>
    <n v="784.04879251399996"/>
  </r>
  <r>
    <s v="ORISSA STATE CO-OPERATIVE BANK LTD."/>
    <n v="472"/>
    <n v="4417.1095024619999"/>
    <n v="1507"/>
    <n v="4698.0104536870003"/>
  </r>
  <r>
    <s v="PAYTM PAYMENTS BANK LIMITED"/>
    <n v="22340"/>
    <n v="34080.666142262999"/>
    <n v="77766"/>
    <n v="42642.705627648997"/>
  </r>
  <r>
    <s v="PNB GILTS LTD."/>
    <n v="1009"/>
    <n v="30745.438023588998"/>
    <n v="533"/>
    <n v="40890.774299436998"/>
  </r>
  <r>
    <s v="PRIME CO-OPERATIVE BANK LTD"/>
    <n v="2746"/>
    <n v="210.395013371"/>
    <n v="6361"/>
    <n v="396.45115635299999"/>
  </r>
  <r>
    <s v="PT BANK MAYBANK INDONESIA TBK"/>
    <n v="10"/>
    <n v="18.471605400000001"/>
    <n v="10"/>
    <n v="16.441182505"/>
  </r>
  <r>
    <s v="PUNJAB AND SIND BANK"/>
    <n v="48987"/>
    <n v="14451.277856979999"/>
    <n v="74168"/>
    <n v="14042.662223093999"/>
  </r>
  <r>
    <s v="PUNJAB NATIONAL BANK"/>
    <n v="701834"/>
    <n v="171911.03401141899"/>
    <n v="874914"/>
    <n v="180614.041553891"/>
  </r>
  <r>
    <s v="QATAR NATIONAL BANK(Q.P.S.C)"/>
    <n v="101"/>
    <n v="997.15880639900001"/>
    <n v="66"/>
    <n v="924.16143099600004"/>
  </r>
  <r>
    <s v="RAJARAMBAPU SAHAKARI BANK LTD"/>
    <n v="2236"/>
    <n v="318.10856718899998"/>
    <n v="3885"/>
    <n v="751.94913435299998"/>
  </r>
  <r>
    <s v="RAJARSHI SHAHU SAHAKARI BANK LTD, PUNE"/>
    <n v="238"/>
    <n v="31.813029181000001"/>
    <n v="528"/>
    <n v="35.91546125"/>
  </r>
  <r>
    <s v="RAJASTHAN MARUDHARA GRAMIN BANK"/>
    <n v="3036"/>
    <n v="194.973556462"/>
    <n v="8698"/>
    <n v="624.36880398999995"/>
  </r>
  <r>
    <s v="RAJGURUNAGAR SAHKARI BANK LTD."/>
    <n v="994"/>
    <n v="164.077717855"/>
    <n v="1727"/>
    <n v="388.43817837900002"/>
  </r>
  <r>
    <s v="RAJKOT NAGRIK SAHAKARI BANK LTD."/>
    <n v="3531"/>
    <n v="1539.099044111"/>
    <n v="4541"/>
    <n v="1551.9759850630001"/>
  </r>
  <r>
    <s v="RBL BANK LTD."/>
    <n v="78086"/>
    <n v="56298.109029915002"/>
    <n v="82431"/>
    <n v="45011.106741814001"/>
  </r>
  <r>
    <s v="RESERVE BANK OF INDIA"/>
    <n v="63753"/>
    <n v="659941.64728880499"/>
    <n v="0"/>
    <n v="0"/>
  </r>
  <r>
    <s v="SAMARTH SAHAKARI BANK LTD; SOLAPUR"/>
    <n v="581"/>
    <n v="52.395092026"/>
    <n v="1614"/>
    <n v="184.947779524"/>
  </r>
  <r>
    <s v="SANT SOPANKAKA SAHAKARI BANK LIMITED, SASWAD"/>
    <n v="460"/>
    <n v="39.004790722999999"/>
    <n v="665"/>
    <n v="52.740450002000003"/>
  </r>
  <r>
    <s v="SARASPUR NAGARIK COOP BANK LTD"/>
    <n v="585"/>
    <n v="153.99348516000001"/>
    <n v="946"/>
    <n v="103.825071102"/>
  </r>
  <r>
    <s v="SBERBANK"/>
    <n v="75"/>
    <n v="1228.320393488"/>
    <n v="86"/>
    <n v="1359.4723663499999"/>
  </r>
  <r>
    <s v="SBI DFHI LTD."/>
    <n v="850"/>
    <n v="20597.742120473002"/>
    <n v="3088"/>
    <n v="49820.010434035001"/>
  </r>
  <r>
    <s v="SBM BANK (INDIA) LIMITED"/>
    <n v="5905"/>
    <n v="4976.5979530579998"/>
    <n v="1851"/>
    <n v="6880.8919333479998"/>
  </r>
  <r>
    <s v="SHIKSHAK SAHAKARI BANK LTD."/>
    <n v="597"/>
    <n v="119.748076391"/>
    <n v="1505"/>
    <n v="173.06453918599999"/>
  </r>
  <r>
    <s v="SHINHAN BANK"/>
    <n v="3510"/>
    <n v="5286.7742479970002"/>
    <n v="2252"/>
    <n v="5087.9737531860001"/>
  </r>
  <r>
    <s v="SHIVALIK SMALL FINANCE BANK LIMITED"/>
    <n v="2484"/>
    <n v="568.22150619700005"/>
    <n v="4037"/>
    <n v="599.56206626200003"/>
  </r>
  <r>
    <s v="SHRI CHHATRAPATI RAJARSHI SHAHU URBAN CO-OP BANK "/>
    <n v="1663"/>
    <n v="197.38410271199999"/>
    <n v="2029"/>
    <n v="188.123252482"/>
  </r>
  <r>
    <s v="SHRI VEERSHAIV CO-OP BANK LTD"/>
    <n v="1000"/>
    <n v="154.031325839"/>
    <n v="1877"/>
    <n v="149.44331151200001"/>
  </r>
  <r>
    <s v="Sindhudurg District Central Cooperative Bank Ltd."/>
    <n v="236"/>
    <n v="23.260122943999999"/>
    <n v="869"/>
    <n v="95.879226872999993"/>
  </r>
  <r>
    <s v="SIR M. VISVESVARAYA CO-OPERATIVE BANK LTD."/>
    <n v="179"/>
    <n v="24.906473657999999"/>
    <n v="90"/>
    <n v="7.1902026499999998"/>
  </r>
  <r>
    <s v="SOCIETE GENERALE"/>
    <n v="771"/>
    <n v="6842.61134477"/>
    <n v="332"/>
    <n v="4678.0442221479998"/>
  </r>
  <r>
    <s v="SOLAPUR JANATA SAHAKARI BANK LTD."/>
    <n v="1726"/>
    <n v="433.90013175600001"/>
    <n v="3272"/>
    <n v="338.04172875099999"/>
  </r>
  <r>
    <s v="SOUTH INDIAN BANK"/>
    <n v="92688"/>
    <n v="15827.261375001999"/>
    <n v="95213"/>
    <n v="15700.740172039001"/>
  </r>
  <r>
    <s v="SREE CHARAN SOUHARDHA CO-OPERATIVE BANK LTD."/>
    <n v="70"/>
    <n v="42.792165699999998"/>
    <n v="27"/>
    <n v="4.5927041759999998"/>
  </r>
  <r>
    <s v="STANDARD CHARTERED BANK"/>
    <n v="240179"/>
    <n v="250974.07727888299"/>
    <n v="159933"/>
    <n v="313058.90659529198"/>
  </r>
  <r>
    <s v="STATE BANK OF INDIA"/>
    <n v="2305425"/>
    <n v="1110269.8677093"/>
    <n v="1977730"/>
    <n v="1169294.1596870599"/>
  </r>
  <r>
    <s v="STCI PRIMARY DEALER LTD."/>
    <n v="310"/>
    <n v="26553.654763201001"/>
    <n v="614"/>
    <n v="25214.960451855"/>
  </r>
  <r>
    <s v="SUCO SOUHARDA SAHAKARI BANK LTD"/>
    <n v="462"/>
    <n v="35.703371173999997"/>
    <n v="1680"/>
    <n v="122.901699455"/>
  </r>
  <r>
    <s v="SUMITOMO MITSUI BANKING CORPORATION"/>
    <n v="2601"/>
    <n v="12733.586764223001"/>
    <n v="2753"/>
    <n v="15189.734298277999"/>
  </r>
  <r>
    <s v="SURAT NATIONAL COOPERATIVE BANK LTD"/>
    <n v="1899"/>
    <n v="180.00949523899999"/>
    <n v="1973"/>
    <n v="304.65876489200002"/>
  </r>
  <r>
    <s v="SURYODAY SMALL FINANCE BANK LTD."/>
    <n v="953"/>
    <n v="536.99574561199995"/>
    <n v="1008"/>
    <n v="552.95186463200002"/>
  </r>
  <r>
    <s v="SVC CO-OPERATIVE BANK LTD."/>
    <n v="25213"/>
    <n v="4771.364832454"/>
    <n v="30745"/>
    <n v="5278.8364068219998"/>
  </r>
  <r>
    <s v="TAMILNAD MERCANTILE BANK LTD."/>
    <n v="76239"/>
    <n v="11706.250594841"/>
    <n v="110771"/>
    <n v="12475.434739945"/>
  </r>
  <r>
    <s v="TELANGANA STATE CO OPERATIVE APEX BANK LTD"/>
    <n v="2072"/>
    <n v="1622.0770616679999"/>
    <n v="9020"/>
    <n v="1787.676680777"/>
  </r>
  <r>
    <s v="TEXTILE TRADERS CO-OPERATIVE BANK LIMITED"/>
    <n v="468"/>
    <n v="63.591806720999998"/>
    <n v="603"/>
    <n v="79.517668994999994"/>
  </r>
  <r>
    <s v="THANE BHARAT SHAKARI BANK LTD."/>
    <n v="1607"/>
    <n v="179.00196897699999"/>
    <n v="1887"/>
    <n v="186.12777733799999"/>
  </r>
  <r>
    <s v="THANE DISTRICT CENTRAL CO-OPERATIVE BANK LTD."/>
    <n v="1052"/>
    <n v="118.27134291599999"/>
    <n v="2033"/>
    <n v="210.27442371199999"/>
  </r>
  <r>
    <s v="THE AHMEDABAD MERCANTILE CO-OPERATIVE BANK LTD."/>
    <n v="5054"/>
    <n v="449.67296644999999"/>
    <n v="4017"/>
    <n v="533.90344952800001"/>
  </r>
  <r>
    <s v="THE AHMEDNAGAR DISTRICT CENTRAL CO-OPERATIVE BANK "/>
    <n v="0"/>
    <n v="0"/>
    <n v="12"/>
    <n v="2.6738987999999999"/>
  </r>
  <r>
    <s v="THE AJARA URBAN COOP BANK LTD"/>
    <n v="79"/>
    <n v="8.6362585000000003"/>
    <n v="0"/>
    <n v="0"/>
  </r>
  <r>
    <s v="THE AKOLA DISTRICT CENTRAL CO-OPERATIVE BANK LTD."/>
    <n v="599"/>
    <n v="65.467476657999995"/>
    <n v="1442"/>
    <n v="482.86972550799999"/>
  </r>
  <r>
    <s v="THE AKOLA JANATA COMMERCIAL COOPERATIVE BANK LTD"/>
    <n v="2986"/>
    <n v="498.22896906099999"/>
    <n v="5132"/>
    <n v="719.37379616199996"/>
  </r>
  <r>
    <s v="THE A.P. MAHESH CO-OPERATIVE URBAN BANK LTD"/>
    <n v="5612"/>
    <n v="787.66624199700004"/>
    <n v="8498"/>
    <n v="885.95222368899999"/>
  </r>
  <r>
    <s v="THE BANASKANTHA MERCANTILE CO-OPERATIVE BANK LTD."/>
    <n v="2"/>
    <n v="4.1111099999999998E-2"/>
    <n v="6"/>
    <n v="0.31524351099999998"/>
  </r>
  <r>
    <s v="THE BANK OF NOVA SCOTIA"/>
    <n v="206"/>
    <n v="10071.425439006"/>
    <n v="198"/>
    <n v="9116.7044682609994"/>
  </r>
  <r>
    <s v="THE BARAMATI SAHAKARI BANK LIMITED"/>
    <n v="1544"/>
    <n v="450.21672267500003"/>
    <n v="3134"/>
    <n v="261.24965022600003"/>
  </r>
  <r>
    <s v="THE BHARAT CO-OPERATIVE BANK (MUMBAI) LTD."/>
    <n v="13088"/>
    <n v="1519.5646042440001"/>
    <n v="21733"/>
    <n v="1941.727736953"/>
  </r>
  <r>
    <s v="THE CLEARING CORPORATION OF INDIA LTD."/>
    <n v="445"/>
    <n v="367673.08515272598"/>
    <n v="479"/>
    <n v="370361.84380012599"/>
  </r>
  <r>
    <s v="THE COSMOS CO-OPERATIVE BANK LTD."/>
    <n v="24105"/>
    <n v="3494.53111575"/>
    <n v="25435"/>
    <n v="3401.4394510239999"/>
  </r>
  <r>
    <s v="THE DELHI STATE COOPERATIVE BANK"/>
    <n v="398"/>
    <n v="125.508618254"/>
    <n v="598"/>
    <n v="162.52417763"/>
  </r>
  <r>
    <s v="THE GADCHIROLI DISTRICT CENTRAL CO-OP BANK LTD."/>
    <n v="380"/>
    <n v="32.409760226000003"/>
    <n v="992"/>
    <n v="247.90101319300001"/>
  </r>
  <r>
    <s v="THE GREATER BOMBAY CO-OPERATIVE BANK LTD."/>
    <n v="1582"/>
    <n v="249.90707854499999"/>
    <n v="2002"/>
    <n v="291.98276484299998"/>
  </r>
  <r>
    <s v="THE GUJARAT STATE CO-OPERATIVE BANK LTD"/>
    <n v="18121"/>
    <n v="6715.3063984609998"/>
    <n v="34812"/>
    <n v="6997.7577272210001"/>
  </r>
  <r>
    <s v="THE HARYANA STATE COOPERATIVE APEX BANK LIMITED"/>
    <n v="170"/>
    <n v="128.59634164900001"/>
    <n v="100"/>
    <n v="11.573363175000001"/>
  </r>
  <r>
    <s v="THE HASTI CO-OP BANK LTD."/>
    <n v="1364"/>
    <n v="114.79659313800001"/>
    <n v="2653"/>
    <n v="199.64845782200001"/>
  </r>
  <r>
    <s v="THE HIMACHAL PRADESH STATE CO-OPERATIVE BANK LTD."/>
    <n v="2108"/>
    <n v="182.86560644100001"/>
    <n v="3693"/>
    <n v="893.88117270999999"/>
  </r>
  <r>
    <s v="THE HONGKONG AND SHANGHAI BANKING CORPORATION LTD."/>
    <n v="171062"/>
    <n v="198815.97020124199"/>
    <n v="72132"/>
    <n v="190216.53788224101"/>
  </r>
  <r>
    <s v="THE JALGAON PEOPLE CO-OPERATIVE BANK LTD."/>
    <n v="1997"/>
    <n v="747.92020743600006"/>
    <n v="2649"/>
    <n v="692.952358011"/>
  </r>
  <r>
    <s v="THE JAMMU AND KASHMIR BANK LTD."/>
    <n v="38366"/>
    <n v="7864.6487309590002"/>
    <n v="73178"/>
    <n v="9900.5541839390007"/>
  </r>
  <r>
    <s v="THE KALUPUR COMMERCIAL CO-OPERATIVE BANK LTD. "/>
    <n v="18137"/>
    <n v="2578.6514059000001"/>
    <n v="22221"/>
    <n v="3551.967092543"/>
  </r>
  <r>
    <s v="THE KALYAN JANATA SAHAKARI BANK LTD."/>
    <n v="2391"/>
    <n v="375.06238873900003"/>
    <n v="3035"/>
    <n v="456.34423037400001"/>
  </r>
  <r>
    <s v="THE KANGRA CENTRAL CO-OP BANK LTD., DHARAMSHALA"/>
    <n v="1609"/>
    <n v="511.85306841699997"/>
    <n v="2604"/>
    <n v="659.60771290299999"/>
  </r>
  <r>
    <s v="THE KANGRA CO-OPERATIVE BANK LTD."/>
    <n v="420"/>
    <n v="24.361300441000001"/>
    <n v="729"/>
    <n v="35.872409515000001"/>
  </r>
  <r>
    <s v="THE KARAD URBAN CO-OPERATIVE BANK LTD., KARAD"/>
    <n v="2806"/>
    <n v="345.79684077600001"/>
    <n v="5305"/>
    <n v="455.13333539799999"/>
  </r>
  <r>
    <s v="THE KERALA STATE CO-OPERATIVE BANK LTD."/>
    <n v="387"/>
    <n v="5417.1218799050002"/>
    <n v="798"/>
    <n v="6666.8957115519997"/>
  </r>
  <r>
    <s v="The Kozhikode District Cooperative Bank Limited"/>
    <n v="664"/>
    <n v="194.32491003199999"/>
    <n v="1489"/>
    <n v="312.00127966399998"/>
  </r>
  <r>
    <s v="THE LAKSHMI VILAS BANK LTD."/>
    <n v="33224"/>
    <n v="3984.1091288110001"/>
    <n v="48294"/>
    <n v="4520.2624093590002"/>
  </r>
  <r>
    <s v="THE MAHARASHTRA STATE CO-OPERATIVE BANK LTD."/>
    <n v="2998"/>
    <n v="9774.9325185430007"/>
    <n v="1622"/>
    <n v="9172.0556466279995"/>
  </r>
  <r>
    <s v="THE MALKAPUR URBAN CO-OP BANK LTD"/>
    <n v="913"/>
    <n v="93.423851204000002"/>
    <n v="2221"/>
    <n v="191.31521144800001"/>
  </r>
  <r>
    <s v="THE MUNICIPAL CO-OPERATIVE BANK LTD., MUMBAI"/>
    <n v="443"/>
    <n v="838.84447291499998"/>
    <n v="283"/>
    <n v="867.71465430000001"/>
  </r>
  <r>
    <s v="THE MUSLIM CO-OPERATIVE BANK LTD., PUNE"/>
    <n v="182"/>
    <n v="13.356354100000001"/>
    <n v="493"/>
    <n v="32.883562666000003"/>
  </r>
  <r>
    <s v="THE NAINITAL BANK LTD."/>
    <n v="7261"/>
    <n v="1471.2781779469999"/>
    <n v="10917"/>
    <n v="1751.6714714039999"/>
  </r>
  <r>
    <s v="THE NAV JEEVAN CO-OP. BANK LTD."/>
    <n v="550"/>
    <n v="40.850640665999997"/>
    <n v="1058"/>
    <n v="84.346683911"/>
  </r>
  <r>
    <s v="THE NAVNIRMAN CO-OPERATIVE BANK LIMITED"/>
    <n v="1521"/>
    <n v="97.594143661000004"/>
    <n v="1520"/>
    <n v="384.01590351999999"/>
  </r>
  <r>
    <s v="THE NAWANAGAR COOPERATIVE BANK LTD."/>
    <n v="1194"/>
    <n v="119.845610561"/>
    <n v="2482"/>
    <n v="262.34028384700002"/>
  </r>
  <r>
    <s v="THE PANDHARPUR URBAN COOP BANK LTD"/>
    <n v="745"/>
    <n v="171.64310658299999"/>
    <n v="1546"/>
    <n v="171.0494942"/>
  </r>
  <r>
    <s v="THE PUNJAB STATE COOPERATIVE BANK LTD."/>
    <n v="152"/>
    <n v="980.5973692"/>
    <n v="454"/>
    <n v="1100.8390488120001"/>
  </r>
  <r>
    <s v="THE PUSAD URBAN CO-OP BANK LTD"/>
    <n v="581"/>
    <n v="43.016801006000001"/>
    <n v="1369"/>
    <n v="103.0431944"/>
  </r>
  <r>
    <s v="THE RAJASTHAN STATE CO-OPERATIVE BANK LTD."/>
    <n v="1388"/>
    <n v="2960.2408331080001"/>
    <n v="4428"/>
    <n v="3228.1162872569998"/>
  </r>
  <r>
    <s v="THE SAHEBRAO DESHMUKH CO-OPERATIVE BANK LTD."/>
    <n v="503"/>
    <n v="43.460084801999997"/>
    <n v="668"/>
    <n v="51.029533981999997"/>
  </r>
  <r>
    <s v="THE SARASWAT CO-OPERATIVE BANK LTD."/>
    <n v="48956"/>
    <n v="10199.866269651"/>
    <n v="46718"/>
    <n v="10500.107000427"/>
  </r>
  <r>
    <s v="THE SATARA DISTRICT CENTRAL CO-OPERATIVE BANK LTD"/>
    <n v="2"/>
    <n v="20"/>
    <n v="0"/>
    <n v="0"/>
  </r>
  <r>
    <s v="THE SATARA SAHAKARI BANK LIMITED"/>
    <n v="239"/>
    <n v="25.239144447000001"/>
    <n v="390"/>
    <n v="20.619210089999999"/>
  </r>
  <r>
    <s v="THE SEVA VIKAS CO-OPERATIVE BANK LTD."/>
    <n v="321"/>
    <n v="84.459732852000002"/>
    <n v="657"/>
    <n v="136.05551802799999"/>
  </r>
  <r>
    <s v="THE SURAT DISTRICT CO-OPERATIVE BANK LTD."/>
    <n v="3311"/>
    <n v="2394.6130298869998"/>
    <n v="4904"/>
    <n v="2430.3294669400002"/>
  </r>
  <r>
    <s v="THE SURAT PEOPLE'S CO-OPERATIVE BANK LTD."/>
    <n v="8344"/>
    <n v="851.46021282100003"/>
    <n v="11096"/>
    <n v="1158.9171989880001"/>
  </r>
  <r>
    <s v="THE SUTEX CO-OPERATIVE BANK LTD."/>
    <n v="2993"/>
    <n v="256.07319571699998"/>
    <n v="3500"/>
    <n v="394.36998911699999"/>
  </r>
  <r>
    <s v="THE TAMILNADU STATE APEX CO-OPERATIVE BANK LTD."/>
    <n v="4064"/>
    <n v="5094.274962513"/>
    <n v="8557"/>
    <n v="5653.7054307030003"/>
  </r>
  <r>
    <s v="THE UDAIPUR URBAN CO-OP. BANK LTD."/>
    <n v="268"/>
    <n v="16.891551751000002"/>
    <n v="880"/>
    <n v="56.030627142999997"/>
  </r>
  <r>
    <s v="THE VARACHHA CO-OPERATIVE BANK LTD., SURAT"/>
    <n v="3750"/>
    <n v="380.01651611599999"/>
    <n v="3458"/>
    <n v="382.36445615000002"/>
  </r>
  <r>
    <s v="THE VIJAY CO-OPERATIVE BANK LTD. "/>
    <n v="723"/>
    <n v="75.141384517000006"/>
    <n v="1555"/>
    <n v="129.61924589"/>
  </r>
  <r>
    <s v="THE VISHWESHWAR SAHAKARI BANK LTD., PUNE"/>
    <n v="1975"/>
    <n v="600.07503758300004"/>
    <n v="3090"/>
    <n v="725.311905572"/>
  </r>
  <r>
    <s v="THE WEST BENGAL STATE CO-OPERATIVE BANK LTD."/>
    <n v="2129"/>
    <n v="1961.0362948029999"/>
    <n v="6738"/>
    <n v="2463.6680690399999"/>
  </r>
  <r>
    <s v="THE ZOROASTRIAN COOPERATIVE BANK LIMITED"/>
    <n v="718"/>
    <n v="1850.9128448880001"/>
    <n v="879"/>
    <n v="1878.526611407"/>
  </r>
  <r>
    <s v="THRISSUR DISTRICT CO-OPERATIVE BANK LTD."/>
    <n v="780"/>
    <n v="585.539942279"/>
    <n v="2942"/>
    <n v="608.26197170800003"/>
  </r>
  <r>
    <s v="TJSB SAHAKARI BANK LTD."/>
    <n v="12381"/>
    <n v="1837.0772090830001"/>
    <n v="17557"/>
    <n v="2114.3571882229999"/>
  </r>
  <r>
    <s v="TUMKUR GRAIN MERCHANTS CO-OPERATIVE BANK LTD."/>
    <n v="986"/>
    <n v="224.250891166"/>
    <n v="1651"/>
    <n v="188.496534295"/>
  </r>
  <r>
    <s v="UCO BANK"/>
    <n v="88804"/>
    <n v="27871.411476542999"/>
    <n v="157339"/>
    <n v="28896.134285346001"/>
  </r>
  <r>
    <s v="Ujjivan Small Finance Bank Limited"/>
    <n v="11293"/>
    <n v="3945.5156893620001"/>
    <n v="14203"/>
    <n v="4498.9352537240002"/>
  </r>
  <r>
    <s v="UNIITED OVERSEAS BANK MUMBAI BRANCH"/>
    <n v="23"/>
    <n v="505.48899930200002"/>
    <n v="15"/>
    <n v="565.512630855"/>
  </r>
  <r>
    <s v="UNION BANK OF INDIA"/>
    <n v="553351"/>
    <n v="155258.10805121699"/>
    <n v="793814"/>
    <n v="183302.01588861499"/>
  </r>
  <r>
    <s v="UNION BANK OF INDIA- Andhra Bank till 31.03.2020"/>
    <n v="27414"/>
    <n v="2769.2211187779999"/>
    <n v="41"/>
    <n v="6469.3210197520002"/>
  </r>
  <r>
    <s v="UNION BANK OF INDIA-Corporation Bank till 31.03.20"/>
    <n v="27702"/>
    <n v="4781.0563064400003"/>
    <n v="46"/>
    <n v="7993.4405029319996"/>
  </r>
  <r>
    <s v="URBAN COOPERATIVE BANK LTD No 1758 PERINTHALMANNA"/>
    <n v="119"/>
    <n v="10.157306820000001"/>
    <n v="0"/>
    <n v="0"/>
  </r>
  <r>
    <s v="UTKARSH SMALL FINANCE BANK LTD"/>
    <n v="4584"/>
    <n v="1641.2803410030001"/>
    <n v="4696"/>
    <n v="1318.6857248880001"/>
  </r>
  <r>
    <s v="UTTAR PRADESH COOPERATIVE BANK LTD LUCKNOW"/>
    <n v="1428"/>
    <n v="1412.8335450950001"/>
    <n v="5729"/>
    <n v="918.71427832799998"/>
  </r>
  <r>
    <s v="Vasai Janata Sahakari Bank Ltd."/>
    <n v="334"/>
    <n v="23.978952147000001"/>
    <n v="599"/>
    <n v="54.313816394"/>
  </r>
  <r>
    <s v="VASAI VIKAS SAHAKARI BANK LTD."/>
    <n v="884"/>
    <n v="551.50790769599996"/>
    <n v="2081"/>
    <n v="610.27217764299996"/>
  </r>
  <r>
    <s v="WOORI BANK"/>
    <n v="575"/>
    <n v="1238.5416786430001"/>
    <n v="374"/>
    <n v="1708.4273366269999"/>
  </r>
  <r>
    <s v="YES BANK LTD"/>
    <n v="376913"/>
    <n v="163441.80353717"/>
    <n v="375290"/>
    <n v="134416.07082818"/>
  </r>
  <r>
    <s v="ZILA SAHKARI BANK LTD GHAZIABAD"/>
    <n v="462"/>
    <n v="73.073996911999998"/>
    <n v="649"/>
    <n v="195.166306601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ABHYUDAYA CO-OP BANK LTD"/>
    <n v="131799"/>
    <n v="37261.448749399999"/>
    <n v="287683"/>
    <n v="85937.574319099993"/>
  </r>
  <r>
    <s v="AHMEDABAD MERCANTILE COOP BANK"/>
    <n v="36617"/>
    <n v="35469.0931681"/>
    <n v="54205"/>
    <n v="37390.5674401"/>
  </r>
  <r>
    <s v="AHMEDNAGAR MERCHANTS CO-OP BANK LTD"/>
    <n v="18777"/>
    <n v="10951.317172000001"/>
    <n v="18529"/>
    <n v="15444.251237300001"/>
  </r>
  <r>
    <s v="AIRTEL PAYMENTS BANK LIMITED"/>
    <n v="50602"/>
    <n v="327169.45917260001"/>
    <n v="453600"/>
    <n v="109493.74544100001"/>
  </r>
  <r>
    <s v="AKOLA DISTRICT CENTRAL CO-OP BANK"/>
    <n v="19556"/>
    <n v="12250.556512000001"/>
    <n v="20864"/>
    <n v="15206.933714300001"/>
  </r>
  <r>
    <s v="ALMORA URBAN CO-OPERATIVE BANK LTD"/>
    <n v="38131"/>
    <n v="6772.7656578999995"/>
    <n v="26452"/>
    <n v="10021.997312000001"/>
  </r>
  <r>
    <s v="AMBARNATH JAI HIND CO -OP BANK LTD"/>
    <n v="2056"/>
    <n v="1586.5546318000002"/>
    <n v="13174"/>
    <n v="3179.1892905"/>
  </r>
  <r>
    <s v="ANDHRA BANK"/>
    <n v="23469"/>
    <n v="5676.8860984000003"/>
    <n v="1161562"/>
    <n v="352283.37276330002"/>
  </r>
  <r>
    <s v="ANDHRA PRAGATHI GRAMEENA BANK"/>
    <n v="50180"/>
    <n v="35827.552004899997"/>
    <n v="313699"/>
    <n v="68674.955495400005"/>
  </r>
  <r>
    <s v="ANZ Banking Group Limited"/>
    <n v="37242"/>
    <n v="90695.717490700001"/>
    <n v="10747"/>
    <n v="104290.25315290001"/>
  </r>
  <r>
    <s v="APNA SAHAKARI BANKLTD"/>
    <n v="17416"/>
    <n v="8284.8390739000006"/>
    <n v="90007"/>
    <n v="30736.711799299999"/>
  </r>
  <r>
    <s v="ARVIND SAHAKARI BANK LTD"/>
    <n v="4400"/>
    <n v="3362.741595"/>
    <n v="1223"/>
    <n v="756.91597290000004"/>
  </r>
  <r>
    <s v="AU SMALL FINANCE BANK LIMITED"/>
    <n v="384166"/>
    <n v="282454.70793109998"/>
    <n v="493985"/>
    <n v="294629.81321380002"/>
  </r>
  <r>
    <s v="AXIS BANK"/>
    <n v="23565827"/>
    <n v="16743268.936482299"/>
    <n v="14274596"/>
    <n v="13522933.5256737"/>
  </r>
  <r>
    <s v="Akola Janata Commercial Co-Op Bank"/>
    <n v="18263"/>
    <n v="14483.990724400001"/>
    <n v="21468"/>
    <n v="16016.433744600001"/>
  </r>
  <r>
    <s v="Andhra Pradesh Grameen Vikas Bank"/>
    <n v="48744"/>
    <n v="23258.161180300001"/>
    <n v="345314"/>
    <n v="202010.27489599999"/>
  </r>
  <r>
    <s v="B N PARIBAS"/>
    <n v="421267"/>
    <n v="1017926.4159303999"/>
    <n v="166255"/>
    <n v="1489449.6418802999"/>
  </r>
  <r>
    <s v="BANASKANTHA MERCANTILE CO-OP BANK"/>
    <n v="1"/>
    <n v="1E-3"/>
    <n v="2"/>
    <n v="5.0999999999999997E-2"/>
  </r>
  <r>
    <s v="BANDHAN BANK LIMITED"/>
    <n v="772898"/>
    <n v="347012.35154349997"/>
    <n v="963655"/>
    <n v="459694.7966763"/>
  </r>
  <r>
    <s v="BANK INTERNASIONAL INDONESIA"/>
    <n v="1765"/>
    <n v="2662.610561"/>
    <n v="48"/>
    <n v="519.10246610000002"/>
  </r>
  <r>
    <s v="BANK OF AMERICA"/>
    <n v="917462"/>
    <n v="2410474.8070042003"/>
    <n v="125194"/>
    <n v="861772.49725440005"/>
  </r>
  <r>
    <s v="BANK OF BAHARIEN AND KUWAIT"/>
    <n v="6544"/>
    <n v="48114.565100200001"/>
    <n v="2203"/>
    <n v="5990.7145785000002"/>
  </r>
  <r>
    <s v="BANK OF BARODA"/>
    <n v="5534394"/>
    <n v="4356996.0479247998"/>
    <n v="20848550"/>
    <n v="6818416.8911467008"/>
  </r>
  <r>
    <s v="BANK OF CEYLON"/>
    <n v="2861"/>
    <n v="1235.8704172"/>
    <n v="705"/>
    <n v="1499.6444702000001"/>
  </r>
  <r>
    <s v="BANK OF INDIA"/>
    <n v="3262436"/>
    <n v="1522486.0479716"/>
    <n v="11270878"/>
    <n v="4137376.6899869"/>
  </r>
  <r>
    <s v="BANK OF MAHARASHTRA"/>
    <n v="1620431"/>
    <n v="974147.59606130002"/>
    <n v="3309947"/>
    <n v="1817054.7270461"/>
  </r>
  <r>
    <s v="BANK OF NOVA SCOTIA"/>
    <n v="391"/>
    <n v="4014.8296502999997"/>
    <n v="97"/>
    <n v="27913.834440300001"/>
  </r>
  <r>
    <s v="BANK OF TOKYO AND MITSUBISHI"/>
    <n v="95138"/>
    <n v="246378.83794560001"/>
    <n v="10931"/>
    <n v="313712.67728050001"/>
  </r>
  <r>
    <s v="BARCLAYS BANK"/>
    <n v="71166"/>
    <n v="145856.56139760002"/>
    <n v="16364"/>
    <n v="298258.91157540004"/>
  </r>
  <r>
    <s v="BASSEIN CATHOLIC CO-OP BANK LTD"/>
    <n v="62843"/>
    <n v="36080.116590799997"/>
    <n v="114057"/>
    <n v="53815.818117499999"/>
  </r>
  <r>
    <s v="BHAGINI NIVEDITA SAHAKARI BANK LTD"/>
    <n v="4968"/>
    <n v="1386.7678819"/>
    <n v="9011"/>
    <n v="2492.4793258999998"/>
  </r>
  <r>
    <s v="BHARAT CO-OP BANK LTD"/>
    <n v="107096"/>
    <n v="53812.422636199997"/>
    <n v="222830"/>
    <n v="103576.90481940001"/>
  </r>
  <r>
    <s v="BOMBAY MERCANTILE CO-OPERATIVE BANK"/>
    <n v="18780"/>
    <n v="10097.5461873"/>
    <n v="5558"/>
    <n v="4352.5600867000003"/>
  </r>
  <r>
    <s v="CANARA BANK"/>
    <n v="4779776"/>
    <n v="2967321.1943713999"/>
    <n v="13838178"/>
    <n v="7610554.4583393009"/>
  </r>
  <r>
    <s v="CAPITAL SMALL FINANCE BANK LTD"/>
    <n v="55101"/>
    <n v="35437.307726200001"/>
    <n v="85658"/>
    <n v="49427.894597600003"/>
  </r>
  <r>
    <s v="CATHOLIC SYRIAN BANK LTD."/>
    <n v="265129"/>
    <n v="119342.6363023"/>
    <n v="304027"/>
    <n v="122988.40247840001"/>
  </r>
  <r>
    <s v="CENTRAL BANK OF INDIA"/>
    <n v="2140689"/>
    <n v="1643823.9673573002"/>
    <n v="7358741"/>
    <n v="2253719.5904776002"/>
  </r>
  <r>
    <s v="CITI BANK"/>
    <n v="8006541"/>
    <n v="14307322.862671001"/>
    <n v="2853312"/>
    <n v="9776783.3774273992"/>
  </r>
  <r>
    <s v="CITIZEN CREDIT COOPERATIVE BANK LTD"/>
    <n v="19287"/>
    <n v="11249.453565799999"/>
    <n v="40160"/>
    <n v="17178.4020968"/>
  </r>
  <r>
    <s v="CITY UNION BANK LTD"/>
    <n v="1343709"/>
    <n v="669582.05779019999"/>
    <n v="1084941"/>
    <n v="633130.76212830003"/>
  </r>
  <r>
    <s v="COASTAL LOCAL AREA BANK"/>
    <n v="4642"/>
    <n v="2838.2333438999999"/>
    <n v="8407"/>
    <n v="4428.5949944000004"/>
  </r>
  <r>
    <s v="CORPORATION BANK"/>
    <n v="17480"/>
    <n v="4897.1677794999996"/>
    <n v="1009410"/>
    <n v="335697.32261219999"/>
  </r>
  <r>
    <s v="COSMOS COOPERATIVE BANK"/>
    <n v="162842"/>
    <n v="174748.7904234"/>
    <n v="272982"/>
    <n v="174490.63895580001"/>
  </r>
  <r>
    <s v="CREDIT AGRICOLE CORP N INVSMNT BANK"/>
    <n v="28054"/>
    <n v="97654.040809599988"/>
    <n v="4156"/>
    <n v="304543.73488990002"/>
  </r>
  <r>
    <s v="CREDIT SUISSE AG"/>
    <n v="39"/>
    <n v="57.236725399999997"/>
    <n v="81"/>
    <n v="10426.570523599999"/>
  </r>
  <r>
    <s v="CTBC BANK CO LTD"/>
    <n v="2984"/>
    <n v="9219.8661377999997"/>
    <n v="774"/>
    <n v="41507.371703099998"/>
  </r>
  <r>
    <s v="DCB BANK LIMITED"/>
    <n v="255371"/>
    <n v="208082.66052029998"/>
    <n v="333897"/>
    <n v="261216.49942990002"/>
  </r>
  <r>
    <s v="DELHI STATE CO OP BANK LTD"/>
    <n v="2794"/>
    <n v="1420.2696246"/>
    <n v="8767"/>
    <n v="6542.756340599999"/>
  </r>
  <r>
    <s v="DEOGIRI NAGARI SAHAKARI BANK LTD"/>
    <n v="11545"/>
    <n v="10342.854049600001"/>
    <n v="16757"/>
    <n v="7554.1838810999998"/>
  </r>
  <r>
    <s v="DEUSTCHE BANK"/>
    <n v="3122043"/>
    <n v="5126687.2617552001"/>
    <n v="442297"/>
    <n v="3389571.9434353998"/>
  </r>
  <r>
    <s v="DEVELOPMENT BANK OF SINGAPORE"/>
    <n v="781455"/>
    <n v="1225213.0614479"/>
    <n v="401737"/>
    <n v="654031.06101920002"/>
  </r>
  <r>
    <s v="DHANLAXMI BANK LTD"/>
    <n v="178516"/>
    <n v="65545.933534900003"/>
    <n v="257105"/>
    <n v="93729.5983347"/>
  </r>
  <r>
    <s v="DICGC"/>
    <n v="73"/>
    <n v="103.04924539999999"/>
    <n v="14"/>
    <n v="2709.1348488999997"/>
  </r>
  <r>
    <s v="DMK JAOLI BANK LTD"/>
    <n v="4170"/>
    <n v="4582.2113780999998"/>
    <n v="16232"/>
    <n v="4887.7309847000006"/>
  </r>
  <r>
    <s v="DOHA BANK QSC"/>
    <n v="21941"/>
    <n v="24129.478684400001"/>
    <n v="2395"/>
    <n v="3865.1143008999998"/>
  </r>
  <r>
    <s v="DOMBIVLI NAGRIK SAHAKARI BANK"/>
    <n v="26849"/>
    <n v="10031.5090358"/>
    <n v="84311"/>
    <n v="27231.700973499999"/>
  </r>
  <r>
    <s v="Durgapur Steel Peoples Coop Bank Lt"/>
    <n v="2118"/>
    <n v="714.08249469999998"/>
    <n v="7803"/>
    <n v="3347.8508033999997"/>
  </r>
  <r>
    <s v="EMIRATES NBD BANK PJSC"/>
    <n v="12860"/>
    <n v="23803.122726799997"/>
    <n v="362"/>
    <n v="2590.1860080000001"/>
  </r>
  <r>
    <s v="EQUITAS SMALL FINANCE BANK LIMITED"/>
    <n v="558973"/>
    <n v="187629.1313948"/>
    <n v="268185"/>
    <n v="115216.0891582"/>
  </r>
  <r>
    <s v="ESAF SMALL FINANCE BANK LTD"/>
    <n v="55813"/>
    <n v="25755.4821815"/>
    <n v="134577"/>
    <n v="43478.062969099999"/>
  </r>
  <r>
    <s v="EXPORT IMPORT BANK OF INDIA"/>
    <n v="0"/>
    <n v="0"/>
    <n v="189"/>
    <n v="388161.68309539999"/>
  </r>
  <r>
    <s v="FEDERAL BANK"/>
    <n v="3626152"/>
    <n v="1964904.0477024"/>
    <n v="3088745"/>
    <n v="1502326.0269976999"/>
  </r>
  <r>
    <s v="FINCARE SMALL FINANCE BANK LTD"/>
    <n v="20857"/>
    <n v="11826.528845499999"/>
    <n v="39372"/>
    <n v="13690.9781348"/>
  </r>
  <r>
    <s v="FINO PAYMENTS BANK LIMITED"/>
    <n v="528589"/>
    <n v="51029.655081999997"/>
    <n v="304291"/>
    <n v="40051.493552"/>
  </r>
  <r>
    <s v="FIRSTRAND BANK"/>
    <n v="38"/>
    <n v="11.838312800000001"/>
    <n v="10"/>
    <n v="59.361648499999994"/>
  </r>
  <r>
    <s v="GOPINATH PATIL PARSIK JAN SAHA BANK"/>
    <n v="47910"/>
    <n v="29381.292978499998"/>
    <n v="116963"/>
    <n v="52653.917891099998"/>
  </r>
  <r>
    <s v="GREATER BOMBAY CO-OP BANK"/>
    <n v="9278"/>
    <n v="3511.8559822000002"/>
    <n v="48441"/>
    <n v="11942.858751"/>
  </r>
  <r>
    <s v="HDFC BANK"/>
    <n v="39540665"/>
    <n v="30320326.2225352"/>
    <n v="29378459"/>
    <n v="37640060.046395294"/>
  </r>
  <r>
    <s v="HIMACHAL PRADESH STATE COOPERATIVE"/>
    <n v="83159"/>
    <n v="15835.0418634"/>
    <n v="78200"/>
    <n v="30651.1759938"/>
  </r>
  <r>
    <s v="HSBC BANK"/>
    <n v="2831800"/>
    <n v="7113587.6251571998"/>
    <n v="967565"/>
    <n v="5648544.9868513998"/>
  </r>
  <r>
    <s v="ICICI BANK LTD"/>
    <n v="29788150"/>
    <n v="19197980.1459467"/>
    <n v="23092055"/>
    <n v="20833632.526279699"/>
  </r>
  <r>
    <s v="IDBI BANK"/>
    <n v="8230780"/>
    <n v="4520557.7547856998"/>
    <n v="5124911"/>
    <n v="4025576.2865077001"/>
  </r>
  <r>
    <s v="IDFC BANK LIMITED"/>
    <n v="1913657"/>
    <n v="1646611.2627856"/>
    <n v="1379024"/>
    <n v="1363479.3475309"/>
  </r>
  <r>
    <s v="IDUKKI DISTRICT COOPERATIVE BANK LT"/>
    <n v="6448"/>
    <n v="5603.5721221000003"/>
    <n v="8918"/>
    <n v="3991.8417354000003"/>
  </r>
  <r>
    <s v="INDIA POST PAYMENTS BANK LIMITED"/>
    <n v="624825"/>
    <n v="296960.55777730001"/>
    <n v="479763"/>
    <n v="188307.40309029998"/>
  </r>
  <r>
    <s v="INDIAN BANK"/>
    <n v="3035720"/>
    <n v="2264777.2588283001"/>
    <n v="11068061"/>
    <n v="3686943.3155556"/>
  </r>
  <r>
    <s v="INDIAN OVERSEAS BANK"/>
    <n v="1993404"/>
    <n v="1300772.4311047001"/>
    <n v="5680141"/>
    <n v="1758145.8198782001"/>
  </r>
  <r>
    <s v="INDUSIND BANK"/>
    <n v="4747916"/>
    <n v="3133234.7763828998"/>
    <n v="3069490"/>
    <n v="3062582.8866721001"/>
  </r>
  <r>
    <s v="INDUSTRIAL AND COM BANK OF CHINA LT"/>
    <n v="934"/>
    <n v="32536.880500900003"/>
    <n v="87"/>
    <n v="11094.009485499999"/>
  </r>
  <r>
    <s v="INDUSTRIAL BANK OF KOREA"/>
    <n v="4237"/>
    <n v="5840.4903097000006"/>
    <n v="468"/>
    <n v="18757.2558928"/>
  </r>
  <r>
    <s v="Irinjalakuda Town Co-op Bank Ltd"/>
    <n v="2058"/>
    <n v="864.59424519999993"/>
    <n v="1477"/>
    <n v="659.13313590000007"/>
  </r>
  <r>
    <s v="JALGAON JANATA SAHKARI BANK LTD"/>
    <n v="14527"/>
    <n v="6090.2779859000002"/>
    <n v="25136"/>
    <n v="11155.137035199999"/>
  </r>
  <r>
    <s v="JALGAON PEOPLES COOP BANK LTD"/>
    <n v="13957"/>
    <n v="13287.038103800001"/>
    <n v="32146"/>
    <n v="13491.8852071"/>
  </r>
  <r>
    <s v="JAMMU AND KASHMIR BANK LTD"/>
    <n v="835306"/>
    <n v="411866.33760209999"/>
    <n v="925901"/>
    <n v="608331.8620654"/>
  </r>
  <r>
    <s v="JANA SMALL FINANCE BANK LIMITED"/>
    <n v="100942"/>
    <n v="78292.578856099994"/>
    <n v="50661"/>
    <n v="44612.189409600003"/>
  </r>
  <r>
    <s v="JANAKALYAN SAHAKARI BANK LTD"/>
    <n v="21952"/>
    <n v="7170.3172382000002"/>
    <n v="42194"/>
    <n v="18187.711719300001"/>
  </r>
  <r>
    <s v="JANATA SAHAKARI BANK LTD"/>
    <n v="97811"/>
    <n v="42423.4257487"/>
    <n v="119366"/>
    <n v="74581.199850399993"/>
  </r>
  <r>
    <s v="JANATHA SEVA CO-OPERATIVE BANK LTD"/>
    <n v="1318"/>
    <n v="686.92660109999997"/>
    <n v="698"/>
    <n v="597.2465406"/>
  </r>
  <r>
    <s v="JANSEVA SAHAKARI BANK BORIVILI LTD"/>
    <n v="4383"/>
    <n v="1533.0448128999999"/>
    <n v="9801"/>
    <n v="2750.3299648000002"/>
  </r>
  <r>
    <s v="JANSEVA SAHAKARI BANK PUNE"/>
    <n v="9424"/>
    <n v="5117.7625078999999"/>
    <n v="37715"/>
    <n v="13038.7402031"/>
  </r>
  <r>
    <s v="JP MORGAN BANK"/>
    <n v="550073"/>
    <n v="824345.31906030001"/>
    <n v="36005"/>
    <n v="796488.22339920001"/>
  </r>
  <r>
    <s v="Jio Payments Bank Limited"/>
    <n v="4367"/>
    <n v="288.77603350000004"/>
    <n v="63509"/>
    <n v="1136.9371317"/>
  </r>
  <r>
    <s v="KALLAPPANNA AWADE IJSB LTD"/>
    <n v="22801"/>
    <n v="11560.322660999998"/>
    <n v="37180"/>
    <n v="18011.9649016"/>
  </r>
  <r>
    <s v="KALUPUR COMM COOPERATIVE BANK"/>
    <n v="108379"/>
    <n v="73722.827869399989"/>
    <n v="167899"/>
    <n v="123791.23232920001"/>
  </r>
  <r>
    <s v="KALYAN JANATA SAHAKARI BANK"/>
    <n v="16436"/>
    <n v="11807.463986600002"/>
    <n v="62411"/>
    <n v="20805.1899208"/>
  </r>
  <r>
    <s v="KARAD URBAN CO-OP BANK LTD"/>
    <n v="18781"/>
    <n v="11616.709766"/>
    <n v="32551"/>
    <n v="19754.957329299999"/>
  </r>
  <r>
    <s v="KARNATAKA BANK LTD"/>
    <n v="627166"/>
    <n v="383061.04897360003"/>
    <n v="1767948"/>
    <n v="665131.52571349998"/>
  </r>
  <r>
    <s v="KARNATAKA STATE COOP APEX BANK"/>
    <n v="69078"/>
    <n v="27646.5051432"/>
    <n v="74990"/>
    <n v="36870.3528449"/>
  </r>
  <r>
    <s v="KARNATAKA VIKAS GRAMEEN BANK"/>
    <n v="64191"/>
    <n v="88150.854851600001"/>
    <n v="222950"/>
    <n v="61242.833985200006"/>
  </r>
  <r>
    <s v="KARUR VYSYA BANK"/>
    <n v="1523188"/>
    <n v="905372.50101630006"/>
    <n v="2028584"/>
    <n v="1038356.5488527"/>
  </r>
  <r>
    <s v="KOLHAPUR URBAN COOPERATIVE BANK LTD"/>
    <n v="2364"/>
    <n v="957.2730464"/>
    <n v="1448"/>
    <n v="815.30325760000005"/>
  </r>
  <r>
    <s v="KOOKMIN BANK"/>
    <n v="303"/>
    <n v="193.76632739999999"/>
    <n v="138"/>
    <n v="720.33320749999996"/>
  </r>
  <r>
    <s v="KOREA EXCHANGE BANK"/>
    <n v="3249"/>
    <n v="30685.414411599999"/>
    <n v="962"/>
    <n v="41053.947544899995"/>
  </r>
  <r>
    <s v="KOTAK MAHINDRA BANK LTD"/>
    <n v="8892377"/>
    <n v="7011105.2223423999"/>
    <n v="8287679"/>
    <n v="7488205.4428183995"/>
  </r>
  <r>
    <s v="KURMANCHAL NAGAR SAHAKARI BANK"/>
    <n v="18456"/>
    <n v="24736.119606"/>
    <n v="18716"/>
    <n v="11586.428254599999"/>
  </r>
  <r>
    <s v="Karnataka Gramin Bank"/>
    <n v="76498"/>
    <n v="232739.42707450001"/>
    <n v="356937"/>
    <n v="101689.7610898"/>
  </r>
  <r>
    <s v="Kerala Gramin Bank"/>
    <n v="112812"/>
    <n v="103879.17907459999"/>
    <n v="791463"/>
    <n v="157226.11471910001"/>
  </r>
  <r>
    <s v="Kozhikode District Coop Bank Ltd."/>
    <n v="12194"/>
    <n v="25797.353133699999"/>
    <n v="22596"/>
    <n v="15726.7456024"/>
  </r>
  <r>
    <s v="Krung Thai Bank PCL"/>
    <n v="20"/>
    <n v="14.697524599999999"/>
    <n v="2"/>
    <n v="0.95643"/>
  </r>
  <r>
    <s v="LAKSHMI VILAS BANK LTD"/>
    <n v="375941"/>
    <n v="178065.48917819999"/>
    <n v="428152"/>
    <n v="192388.16903299998"/>
  </r>
  <r>
    <s v="MAHANAGAR COOP BANK LTD"/>
    <n v="14056"/>
    <n v="9125.6981529999994"/>
    <n v="60957"/>
    <n v="22538.915567199998"/>
  </r>
  <r>
    <s v="MAHARASHTRA GRAMIN BANK"/>
    <n v="76905"/>
    <n v="48922.412847600004"/>
    <n v="205321"/>
    <n v="67835.605039899994"/>
  </r>
  <r>
    <s v="MAHARASHTRA STATE CO-OP BANK LTD"/>
    <n v="8990"/>
    <n v="10998.4573127"/>
    <n v="21179"/>
    <n v="48825.2162924"/>
  </r>
  <r>
    <s v="MAHESH SAHAKARI BANK LTD ,PUNE"/>
    <n v="9039"/>
    <n v="5555.4904749999996"/>
    <n v="14257"/>
    <n v="9293.5175952999998"/>
  </r>
  <r>
    <s v="MASHREQ BANK"/>
    <n v="287"/>
    <n v="764.77605090000009"/>
    <n v="51"/>
    <n v="1164.3496453"/>
  </r>
  <r>
    <s v="MEHSANA URBAN COOPERATIVE BANK LTD"/>
    <n v="73568"/>
    <n v="38808.341483099997"/>
    <n v="104348"/>
    <n v="75359.648794699999"/>
  </r>
  <r>
    <s v="MIZUHO CORPORATE BANK LTD"/>
    <n v="53166"/>
    <n v="119405.5569783"/>
    <n v="11992"/>
    <n v="429483.40361660003"/>
  </r>
  <r>
    <s v="MODEL CO-OPERATIVE BANK LTD"/>
    <n v="3979"/>
    <n v="2666.6756543000001"/>
    <n v="12179"/>
    <n v="5779.677635"/>
  </r>
  <r>
    <s v="MUMBAI DISTRICT CENTRAL CO-OP. BANK"/>
    <n v="22265"/>
    <n v="8960.5902860000006"/>
    <n v="43088"/>
    <n v="19407.550984599999"/>
  </r>
  <r>
    <s v="MUNICIPAL COOP BANK LTD"/>
    <n v="4497"/>
    <n v="2025.0356274999999"/>
    <n v="7112"/>
    <n v="1950.3922243000002"/>
  </r>
  <r>
    <s v="NABARD"/>
    <n v="13425"/>
    <n v="12332.090425099999"/>
    <n v="387"/>
    <n v="134691.0637308"/>
  </r>
  <r>
    <s v="NAGAR URBAN COOP BANK LTD"/>
    <n v="8649"/>
    <n v="5495.6011084000002"/>
    <n v="9424"/>
    <n v="5605.6389153999999"/>
  </r>
  <r>
    <s v="NAGPUR NAGRIK SAHAKARI BANK LTD"/>
    <n v="14552"/>
    <n v="7490.9621470000002"/>
    <n v="25271"/>
    <n v="14620.4749247"/>
  </r>
  <r>
    <s v="NAINITAL BANK LTD"/>
    <n v="59713"/>
    <n v="33799.144215699998"/>
    <n v="93032"/>
    <n v="48420.725381600001"/>
  </r>
  <r>
    <s v="NATIONAL BANK OF ABU DHABI PJSC"/>
    <n v="416"/>
    <n v="56020.7572679"/>
    <n v="51"/>
    <n v="55589.110340400002"/>
  </r>
  <r>
    <s v="NAV JEEVAN CO-OP BANK LTD"/>
    <n v="5363"/>
    <n v="2790.0444307999996"/>
    <n v="5701"/>
    <n v="3088.8775610000002"/>
  </r>
  <r>
    <s v="NEW INDIA CO-OP BANK"/>
    <n v="23313"/>
    <n v="8782.2651745000003"/>
    <n v="45551"/>
    <n v="15474.3037298"/>
  </r>
  <r>
    <s v="NILAMBUR CO-OPERATIVE URBAN BANK"/>
    <n v="1711"/>
    <n v="901.19701989999999"/>
    <n v="3614"/>
    <n v="1595.6024505"/>
  </r>
  <r>
    <s v="NKGSB BANK"/>
    <n v="95550"/>
    <n v="39534.696223799998"/>
    <n v="138645"/>
    <n v="48143.4588009"/>
  </r>
  <r>
    <s v="NORTH EAST SMALL FINANCE BANK LTD"/>
    <n v="18259"/>
    <n v="6486.3636614999996"/>
    <n v="11041"/>
    <n v="2911.9128876"/>
  </r>
  <r>
    <s v="NSDL PAYMENTS BANK LIMITED"/>
    <n v="51234"/>
    <n v="9588.8715272999998"/>
    <n v="12536"/>
    <n v="19287.090889200001"/>
  </r>
  <r>
    <s v="NUTAN NAGARIK SAHAKARI BANK LTD"/>
    <n v="34500"/>
    <n v="16938.942023900003"/>
    <n v="51915"/>
    <n v="36735.896983400002"/>
  </r>
  <r>
    <s v="ODISHA STATE CO-OP BANK LTD"/>
    <n v="15461"/>
    <n v="6545.1447773999998"/>
    <n v="8002"/>
    <n v="8677.1415916000005"/>
  </r>
  <r>
    <s v="PRIME CO-OP BANK LTD. SURAT"/>
    <n v="32460"/>
    <n v="15587.870159600001"/>
    <n v="34937"/>
    <n v="16468.746655499999"/>
  </r>
  <r>
    <s v="PUNJAB AND SIND BANK"/>
    <n v="366983"/>
    <n v="202576.24071130002"/>
    <n v="1195054"/>
    <n v="457102.04558239999"/>
  </r>
  <r>
    <s v="PUNJAB NATIONAL BANK"/>
    <n v="7193973"/>
    <n v="4857111.2619388998"/>
    <n v="20910822"/>
    <n v="7906552.0466031004"/>
  </r>
  <r>
    <s v="PUNJAB STATE COOPERATIVE BANK"/>
    <n v="1322"/>
    <n v="21997.8681913"/>
    <n v="1982"/>
    <n v="12291.8985245"/>
  </r>
  <r>
    <s v="PUSAD URBAN COOPERATIVE BANK LTD"/>
    <n v="5068"/>
    <n v="3267.9971647000002"/>
    <n v="2555"/>
    <n v="2313.8628356999998"/>
  </r>
  <r>
    <s v="Paytm Payments Bank Limited"/>
    <n v="8139374"/>
    <n v="740588.62411420001"/>
    <n v="1954167"/>
    <n v="1547774.8218114001"/>
  </r>
  <r>
    <s v="QATAR NATIONAL BANK QPSC"/>
    <n v="52"/>
    <n v="3114.0998392000001"/>
    <n v="45"/>
    <n v="5056.3194411000004"/>
  </r>
  <r>
    <s v="RABOBANK INTERNATIONAL"/>
    <n v="5113"/>
    <n v="11673.0680278"/>
    <n v="609"/>
    <n v="12711.942657400001"/>
  </r>
  <r>
    <s v="RAJARAMBAPU SAHAKARI BANK LTD"/>
    <n v="17411"/>
    <n v="8738.6211305999987"/>
    <n v="12230"/>
    <n v="15992.151088299999"/>
  </r>
  <r>
    <s v="RAJARSHI SHAHU SAHAKARI BANK"/>
    <n v="2621"/>
    <n v="2570.5595877000001"/>
    <n v="4237"/>
    <n v="1845.7795490999999"/>
  </r>
  <r>
    <s v="RAJASTHAN MARUDHARA GRAMIN BANK"/>
    <n v="79354"/>
    <n v="78292.249188300004"/>
    <n v="1481161"/>
    <n v="50340.212328500005"/>
  </r>
  <r>
    <s v="RAJGURUNAGAR SAHAKARI BANK LTD"/>
    <n v="16313"/>
    <n v="10026.974235700001"/>
    <n v="35373"/>
    <n v="7813.6883005"/>
  </r>
  <r>
    <s v="RAJKOT NAGARIK SAHAKARI BANK LTD"/>
    <n v="22366"/>
    <n v="13895.823999300001"/>
    <n v="62724"/>
    <n v="19779.841959000001"/>
  </r>
  <r>
    <s v="RAJNANDGAON DCC BANK"/>
    <n v="14926"/>
    <n v="3999.1619344999999"/>
    <n v="1129"/>
    <n v="737.9341584"/>
  </r>
  <r>
    <s v="RBI,PAD"/>
    <n v="47205130"/>
    <n v="28041950.884673901"/>
    <n v="1270604"/>
    <n v="3372773.0845946004"/>
  </r>
  <r>
    <s v="RBL BANK LTD"/>
    <n v="4364696"/>
    <n v="2167202.4434757"/>
    <n v="1712554"/>
    <n v="1301220.2994273"/>
  </r>
  <r>
    <s v="SAMARTH SAHAKARI BANK LTD SOLAPUR"/>
    <n v="6649"/>
    <n v="3111.0550347000003"/>
    <n v="10302"/>
    <n v="4035.7680719"/>
  </r>
  <r>
    <s v="SANT SOPANKAKA SAHAKARI BANK LTD"/>
    <n v="7131"/>
    <n v="2263.4167080000002"/>
    <n v="5019"/>
    <n v="2905.4996823000001"/>
  </r>
  <r>
    <s v="SARASPUR NAGRIK CO OPERATIVE BANK"/>
    <n v="7949"/>
    <n v="7947.5122448000002"/>
    <n v="11390"/>
    <n v="3414.8168031"/>
  </r>
  <r>
    <s v="SARASWAT CO-OP BANK LTD."/>
    <n v="515430"/>
    <n v="329647.99291810003"/>
    <n v="826671"/>
    <n v="458501.10472339997"/>
  </r>
  <r>
    <s v="SATARA SAHAKARI BANK LTD"/>
    <n v="3960"/>
    <n v="6340.3737166000001"/>
    <n v="6579"/>
    <n v="2310.1006638999997"/>
  </r>
  <r>
    <s v="SBER BANK"/>
    <n v="226"/>
    <n v="1121.8000762000001"/>
    <n v="36"/>
    <n v="129.250011"/>
  </r>
  <r>
    <s v="SBM BANK INDIA LIMITED"/>
    <n v="14004"/>
    <n v="20951.558784699999"/>
    <n v="9540"/>
    <n v="47230.472627799994"/>
  </r>
  <r>
    <s v="SEVA VIKAS COOPERATIVE BANK LTD"/>
    <n v="3269"/>
    <n v="1485.0535531999999"/>
    <n v="17220"/>
    <n v="4150.5496792000004"/>
  </r>
  <r>
    <s v="SHAMRAO VITHAL CO-OP BANK LTD"/>
    <n v="254509"/>
    <n v="177769.44942919997"/>
    <n v="413080"/>
    <n v="222934.8823152"/>
  </r>
  <r>
    <s v="SHIKSHAK SAHAKARI BANK LTD"/>
    <n v="5135"/>
    <n v="2282.2105860000001"/>
    <n v="7849"/>
    <n v="5396.4423416"/>
  </r>
  <r>
    <s v="SHINHAN BANK"/>
    <n v="29774"/>
    <n v="147628.8321808"/>
    <n v="19824"/>
    <n v="169569.10682350001"/>
  </r>
  <r>
    <s v="SHIVALIK MERCANTILE CO-OP BANK"/>
    <n v="19216"/>
    <n v="14452.546756"/>
    <n v="17666"/>
    <n v="9814.542132999999"/>
  </r>
  <r>
    <s v="SHRI CHHATRAPATI SHAHU URBAN COOP B"/>
    <n v="20227"/>
    <n v="14331.703537899999"/>
    <n v="21487"/>
    <n v="8360.8480378999993"/>
  </r>
  <r>
    <s v="SIR M. VISVESWARAYA CO-OP BANK LTD."/>
    <n v="1651"/>
    <n v="4047.6991295999997"/>
    <n v="3353"/>
    <n v="2547.9300020000001"/>
  </r>
  <r>
    <s v="SOCIETE GENERALE"/>
    <n v="7393"/>
    <n v="112162.2371785"/>
    <n v="630"/>
    <n v="21214.0876866"/>
  </r>
  <r>
    <s v="SOLAPUR JANATA SAHAKARI BANK LTD"/>
    <n v="12267"/>
    <n v="17605.1554201"/>
    <n v="16387"/>
    <n v="9495.4137016000004"/>
  </r>
  <r>
    <s v="SOUTH INDIAN BANK"/>
    <n v="1009745"/>
    <n v="763468.4376349001"/>
    <n v="1457412"/>
    <n v="717835.48412419995"/>
  </r>
  <r>
    <s v="SREE CHARAN SOUHARDHA CO-OPERATIVE"/>
    <n v="1477"/>
    <n v="2909.9127600000002"/>
    <n v="2625"/>
    <n v="846.89300270000001"/>
  </r>
  <r>
    <s v="STANDARD CHARTERED BANK"/>
    <n v="6486634"/>
    <n v="5003534.4305856004"/>
    <n v="1656982"/>
    <n v="5324229.9627219001"/>
  </r>
  <r>
    <s v="STATE BANK OF INDIA"/>
    <n v="24423808"/>
    <n v="26407623.311142299"/>
    <n v="78617798"/>
    <n v="34989755.0161874"/>
  </r>
  <r>
    <s v="SUCO SOUHARDA SAHAKARI BANK"/>
    <n v="5669"/>
    <n v="4276.9939749000005"/>
    <n v="1911"/>
    <n v="1941.3483245"/>
  </r>
  <r>
    <s v="SUMITOMO MITSUI BANKING CORPORATION"/>
    <n v="28204"/>
    <n v="114935.68520149999"/>
    <n v="5900"/>
    <n v="319403.5261814"/>
  </r>
  <r>
    <s v="SURAT DISTRICT COOPERATIVE BANK Ltd"/>
    <n v="25594"/>
    <n v="19220.153181400001"/>
    <n v="73515"/>
    <n v="18646.214305000001"/>
  </r>
  <r>
    <s v="SURAT NATIONAL CO-OP BANK LTD"/>
    <n v="19991"/>
    <n v="15939.116896"/>
    <n v="22223"/>
    <n v="10446.0899412"/>
  </r>
  <r>
    <s v="SURAT PEOPLES COOPERATIVE BANK"/>
    <n v="52390"/>
    <n v="41209.490633499998"/>
    <n v="72608"/>
    <n v="38577.182139500001"/>
  </r>
  <r>
    <s v="SURYODAY SMALL FINANCE BANK LTD"/>
    <n v="21533"/>
    <n v="25769.193454699998"/>
    <n v="18984"/>
    <n v="13753.1374748"/>
  </r>
  <r>
    <s v="SUTEX COOP BANK"/>
    <n v="34646"/>
    <n v="13554.6871397"/>
    <n v="34875"/>
    <n v="18647.603841300002"/>
  </r>
  <r>
    <s v="Shri Veershaiv co-op bank ltd"/>
    <n v="4943"/>
    <n v="5338.6163999999999"/>
    <n v="7274"/>
    <n v="5141.5840202999998"/>
  </r>
  <r>
    <s v="Sindhudurg DCCB LTD"/>
    <n v="10099"/>
    <n v="5202.0672789"/>
    <n v="15496"/>
    <n v="2775.1146417"/>
  </r>
  <r>
    <s v="TAMIL NADU STATE APEX COOP BANK"/>
    <n v="142961"/>
    <n v="37270.258163099999"/>
    <n v="177057"/>
    <n v="123976.47448249999"/>
  </r>
  <r>
    <s v="TAMILNADU MERCANTILE BANK"/>
    <n v="632836"/>
    <n v="486165.11458719999"/>
    <n v="1050672"/>
    <n v="535123.04326279997"/>
  </r>
  <r>
    <s v="TELANGANA STATE COOP APEX BANK LTD"/>
    <n v="26795"/>
    <n v="17984.305162000001"/>
    <n v="70061"/>
    <n v="22294.559665300003"/>
  </r>
  <r>
    <s v="TEXTILE TRADERS COOPERATIVE BANK LT"/>
    <n v="3865"/>
    <n v="1570.3500351"/>
    <n v="3555"/>
    <n v="3834.6314360000001"/>
  </r>
  <r>
    <s v="THANE BHARAT SAHAKARI BANK LTD"/>
    <n v="18202"/>
    <n v="12388.8410129"/>
    <n v="37112"/>
    <n v="15654.5024421"/>
  </r>
  <r>
    <s v="THANE DISTRICT CENTRAL COOP BANK LT"/>
    <n v="18881"/>
    <n v="22152.000762399999"/>
    <n v="119090"/>
    <n v="25904.011659"/>
  </r>
  <r>
    <s v="THANE JANATA SAHAKARI BANK LTD"/>
    <n v="131664"/>
    <n v="68168.69428560001"/>
    <n v="298034"/>
    <n v="134635.48271499999"/>
  </r>
  <r>
    <s v="THE A. P. MAHESH URBAN CO-OP BANK L"/>
    <n v="24239"/>
    <n v="19184.720158599997"/>
    <n v="42511"/>
    <n v="28323.828128600002"/>
  </r>
  <r>
    <s v="THE AJARA URBAN CO-OP BANK LTD"/>
    <n v="2498"/>
    <n v="4523.7226276000001"/>
    <n v="785"/>
    <n v="500.57369340000002"/>
  </r>
  <r>
    <s v="THE AP STATE COOP BANK LTD"/>
    <n v="35681"/>
    <n v="59446.123115800001"/>
    <n v="40714"/>
    <n v="16878.336424100002"/>
  </r>
  <r>
    <s v="THE BARAMATI SAHAKARI BANK LTD"/>
    <n v="7163"/>
    <n v="26903.221258600002"/>
    <n v="17254"/>
    <n v="10598.6010938"/>
  </r>
  <r>
    <s v="THE GUJARAT STATE CO-OP BANK LTD"/>
    <n v="170352"/>
    <n v="121422.0197931"/>
    <n v="282489"/>
    <n v="143103.95574870001"/>
  </r>
  <r>
    <s v="THE HARYANA STATE CO-OP APEX BANK"/>
    <n v="1416"/>
    <n v="20330.9486306"/>
    <n v="2199"/>
    <n v="2558.0873869000002"/>
  </r>
  <r>
    <s v="THE HASTI CO-OP. BANK LTD."/>
    <n v="5697"/>
    <n v="3343.3425068000001"/>
    <n v="9054"/>
    <n v="5540.3175037999999"/>
  </r>
  <r>
    <s v="THE KANGRA CENTRAL COOP BANK LTD"/>
    <n v="55113"/>
    <n v="15155.793463800001"/>
    <n v="63281"/>
    <n v="27520.053316500002"/>
  </r>
  <r>
    <s v="THE KANGRA CO OPERATIVE BANK LTD"/>
    <n v="3713"/>
    <n v="2704.6748625999999"/>
    <n v="15311"/>
    <n v="4571.6440705000005"/>
  </r>
  <r>
    <s v="THE KERALA STATE CO-OP BANK"/>
    <n v="1801"/>
    <n v="581.39906329999997"/>
    <n v="5207"/>
    <n v="113327.3619899"/>
  </r>
  <r>
    <s v="THE MALKAPUR URBAN CO OP BANK LTD"/>
    <n v="6419"/>
    <n v="7660.5758838000002"/>
    <n v="5660"/>
    <n v="4952.7242333999993"/>
  </r>
  <r>
    <s v="THE NASIK MERCHANTS CO-OP BANK LTD."/>
    <n v="14983"/>
    <n v="7876.0893055999995"/>
    <n v="25551"/>
    <n v="10552.760755900001"/>
  </r>
  <r>
    <s v="THE NAVNIRMAN COOPERATIVE BANK LTD"/>
    <n v="10204"/>
    <n v="8877.8057890999989"/>
    <n v="16204"/>
    <n v="8925.2602821"/>
  </r>
  <r>
    <s v="THE NAWANAGAR CO-OPERATIVE BANK LTD"/>
    <n v="16205"/>
    <n v="16009.989615099999"/>
    <n v="5584"/>
    <n v="7068.5356239000002"/>
  </r>
  <r>
    <s v="THE PANDHARPUR URBAN CO-OP BANK"/>
    <n v="4701"/>
    <n v="3622.7734816000002"/>
    <n v="4696"/>
    <n v="3546.2875577"/>
  </r>
  <r>
    <s v="THE RAJASTHAN ST. COOP. BANK LTD"/>
    <n v="63475"/>
    <n v="15080.7634641"/>
    <n v="386501"/>
    <n v="33836.206908799999"/>
  </r>
  <r>
    <s v="THE SAHEBRAO DESHMUKH COOP BANK LTD"/>
    <n v="2577"/>
    <n v="2079.3309633000003"/>
    <n v="8747"/>
    <n v="3224.9727355999999"/>
  </r>
  <r>
    <s v="THE UDAIPUR URBAN CO-OPERATIVE BANK"/>
    <n v="5344"/>
    <n v="3087.6167724000002"/>
    <n v="3891"/>
    <n v="1557.4854075999999"/>
  </r>
  <r>
    <s v="THE URBAN CO-OP BANK LTD NO 1758"/>
    <n v="2094"/>
    <n v="3867.3545264999998"/>
    <n v="1584"/>
    <n v="780.58748019999996"/>
  </r>
  <r>
    <s v="THE VARACHHA CO-OP. BANK LTD"/>
    <n v="35854"/>
    <n v="30655.557899899999"/>
    <n v="107393"/>
    <n v="27212.636486599997"/>
  </r>
  <r>
    <s v="THE VIJAY CO OP BANK LTD"/>
    <n v="6498"/>
    <n v="3592.867866"/>
    <n v="5734"/>
    <n v="3528.710861"/>
  </r>
  <r>
    <s v="THE VISHWESHWAR SAHAKARI BANK LTD"/>
    <n v="10591"/>
    <n v="6595.0385913999999"/>
    <n v="26579"/>
    <n v="14660.406993699999"/>
  </r>
  <r>
    <s v="THE ZOROASTRIAN CO-OP BANK LTD"/>
    <n v="7254"/>
    <n v="2265.2806883000003"/>
    <n v="10955"/>
    <n v="6195.5633808000002"/>
  </r>
  <r>
    <s v="TUMKUR GRAIN MERCHANTS COOP BANK"/>
    <n v="7935"/>
    <n v="6611.5297615999998"/>
    <n v="5968"/>
    <n v="3414.5564049"/>
  </r>
  <r>
    <s v="The Gadchiroli Dist Co-Op Bank"/>
    <n v="6150"/>
    <n v="3536.0791362"/>
    <n v="40103"/>
    <n v="8647.0890780999998"/>
  </r>
  <r>
    <s v="The Muslim Co-operative Bank Ltd."/>
    <n v="1526"/>
    <n v="977.91822069999989"/>
    <n v="2852"/>
    <n v="1047.6834372000001"/>
  </r>
  <r>
    <s v="Thrissur District Cooperative Bank"/>
    <n v="9098"/>
    <n v="6751.1105437999995"/>
    <n v="15999"/>
    <n v="10122.920544799999"/>
  </r>
  <r>
    <s v="UCO BANK"/>
    <n v="821080"/>
    <n v="455521.0500479"/>
    <n v="4053134"/>
    <n v="1041813.5297307001"/>
  </r>
  <r>
    <s v="UJJIVAN SMALL FINANCE BANK LTD."/>
    <n v="88647"/>
    <n v="47019.973675600006"/>
    <n v="252890"/>
    <n v="118007.5995198"/>
  </r>
  <r>
    <s v="UNION BANK OF INDIA"/>
    <n v="5580975"/>
    <n v="3498383.1148746996"/>
    <n v="14871591"/>
    <n v="6113115.4228210999"/>
  </r>
  <r>
    <s v="UNITED OVERSEAS BANK LTD"/>
    <n v="70"/>
    <n v="10443.5041088"/>
    <n v="37"/>
    <n v="23523.311323400001"/>
  </r>
  <r>
    <s v="UTKARSH SMALL FINANCE BANK LTD"/>
    <n v="94197"/>
    <n v="61538.530533000005"/>
    <n v="39944"/>
    <n v="20306.174032399998"/>
  </r>
  <r>
    <s v="UTTAR PRADESH CO_OP BANK LTD"/>
    <n v="129518"/>
    <n v="116145.7642374"/>
    <n v="86548"/>
    <n v="70713.725836800004"/>
  </r>
  <r>
    <s v="VASAI VIKAS SAHAKARI BANK LTD"/>
    <n v="5685"/>
    <n v="3265.8463431999999"/>
    <n v="26385"/>
    <n v="8307.0368961000004"/>
  </r>
  <r>
    <s v="Vasai Janata Sahakari Bank"/>
    <n v="7337"/>
    <n v="3261.5306455999998"/>
    <n v="13566"/>
    <n v="4161.4437163000002"/>
  </r>
  <r>
    <s v="WEST BENGAL STATE COOPERATIVE BANK"/>
    <n v="55177"/>
    <n v="19905.218027399998"/>
    <n v="250187"/>
    <n v="74872.575033900008"/>
  </r>
  <r>
    <s v="WOORI BANK"/>
    <n v="10326"/>
    <n v="24001.751504099997"/>
    <n v="2696"/>
    <n v="45443.155494799998"/>
  </r>
  <r>
    <s v="YES BANK"/>
    <n v="42629208"/>
    <n v="7565697.4719577003"/>
    <n v="3350582"/>
    <n v="4774623.8932432998"/>
  </r>
  <r>
    <s v="ZILA SAHKARI BANK LTD GHAZIABAD"/>
    <n v="3922"/>
    <n v="2137.0855047"/>
    <n v="15414"/>
    <n v="7201.409638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3DAE3-8B07-4704-B7A0-B52782D06A9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9" firstHeaderRow="0" firstDataRow="1" firstDataCol="0"/>
  <pivotFields count="5"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Outward Transactions" fld="3" baseField="0" baseItem="0" numFmtId="179"/>
    <dataField name="Outward Amount (in Crore rupees)" fld="4" baseField="0" baseItem="0"/>
  </dataFields>
  <formats count="5">
    <format dxfId="110">
      <pivotArea type="all" dataOnly="0" outline="0" fieldPosition="0"/>
    </format>
    <format dxfId="109">
      <pivotArea outline="0" collapsedLevelsAreSubtotals="1" fieldPosition="0"/>
    </format>
    <format dxfId="107">
      <pivotArea outline="0" collapsedLevelsAreSubtotals="1" fieldPosition="0"/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624D8-0484-4618-804E-E282DF06EE25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" firstHeaderRow="0" firstDataRow="1" firstDataCol="0"/>
  <pivotFields count="6"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OUTWARD TRANSACTIONS" fld="1" baseField="0" baseItem="1" numFmtId="179"/>
    <dataField name=" Outward Amount (In Crore rupees)" fld="5" baseField="0" baseItem="0"/>
  </dataFields>
  <formats count="9"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">
      <pivotArea outline="0" collapsedLevelsAreSubtotals="1" fieldPosition="0"/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0670A-5ED2-4371-A962-D48F65EE2758}" name="NEFT" displayName="NEFT" ref="A1:E225" totalsRowShown="0" headerRowDxfId="129" headerRowBorderDxfId="136" tableBorderDxfId="137" totalsRowBorderDxfId="135" headerRowCellStyle="Normal 2">
  <autoFilter ref="A1:E225" xr:uid="{8BD0670A-5ED2-4371-A962-D48F65EE2758}"/>
  <tableColumns count="5">
    <tableColumn id="1" xr3:uid="{93D31ECB-C1D3-4432-B344-4D12F870A601}" name="Bank Name" dataDxfId="134"/>
    <tableColumn id="2" xr3:uid="{5C51D11C-7A35-4AE8-8BDC-815A1AD259E0}" name="NO. OF OUTWARD TRANSACTIONS" dataDxfId="133"/>
    <tableColumn id="3" xr3:uid="{B4FC419B-8D61-4119-8C5D-A5ADF9BC354E}" name="OUTWARD AMOUNT (Rs. Lakh)" dataDxfId="132"/>
    <tableColumn id="4" xr3:uid="{6E953848-2B15-401E-9AEE-6F08D0DB7123}" name="NO. OF INWARD TRANSACTIONS" dataDxfId="131"/>
    <tableColumn id="5" xr3:uid="{0763F6FB-A480-4039-8D01-52936D830E60}" name="INWARD AMOUNT  (Rs. Lakh)" dataDxfId="1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1C076-EB40-409D-857B-532145E6CC41}" name="RTGS" displayName="RTGS" ref="A1:E238" totalsRowShown="0" headerRowDxfId="116" dataDxfId="117" headerRowBorderDxfId="124" tableBorderDxfId="125" totalsRowBorderDxfId="123">
  <autoFilter ref="A1:E238" xr:uid="{DF01C076-EB40-409D-857B-532145E6CC41}"/>
  <tableColumns count="5">
    <tableColumn id="1" xr3:uid="{E3B0310E-E44F-4E2F-96AB-BEDC21E0FC6B}" name="Bank" dataDxfId="122"/>
    <tableColumn id="2" xr3:uid="{745F0151-98BC-4985-97C4-41BFA78823E0}" name="Volume Inward" dataDxfId="121"/>
    <tableColumn id="3" xr3:uid="{459A672A-46FC-4718-88C9-11108ED1E753}" name="Value Inward (in Crore rupees)" dataDxfId="120"/>
    <tableColumn id="4" xr3:uid="{6173EF9D-27D7-4A03-9BA4-3625EBE04274}" name="Volume Outward" dataDxfId="119"/>
    <tableColumn id="5" xr3:uid="{91D386D8-A836-43E5-AA67-11442AD0BB38}" name="Value Outward (in Crore rupees)" dataDxfId="1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C022B-3E56-41C4-85A1-2DAA4C6CEDDD}" name="Table3" displayName="Table3" ref="A1:C425" totalsRowShown="0" headerRowBorderDxfId="114" tableBorderDxfId="115" totalsRowBorderDxfId="113">
  <autoFilter ref="A1:C425" xr:uid="{49EC022B-3E56-41C4-85A1-2DAA4C6CEDDD}"/>
  <tableColumns count="3">
    <tableColumn id="1" xr3:uid="{5C1672E2-FF94-4C1E-8713-C972B4E5CF86}" name="Bank Name"/>
    <tableColumn id="2" xr3:uid="{C2D7DDEA-1B1C-4AA3-AC33-94A51B3AF212}" name="Volume (Actual)" dataDxfId="112" dataCellStyle="Normal 2 3 2"/>
    <tableColumn id="3" xr3:uid="{6D3071D7-8A8C-4FF2-94CA-59DE2B2B29F3}" name="Value (In Rs'000)" dataDxfId="111" dataCellStyle="Normal 2 3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1660BB-4832-43AA-AA37-5C27027A881A}" name="Table5" displayName="Table5" ref="D2:F6" totalsRowShown="0">
  <autoFilter ref="D2:F6" xr:uid="{781660BB-4832-43AA-AA37-5C27027A881A}">
    <filterColumn colId="0" hiddenButton="1"/>
    <filterColumn colId="1" hiddenButton="1"/>
    <filterColumn colId="2" hiddenButton="1"/>
  </autoFilter>
  <tableColumns count="3">
    <tableColumn id="1" xr3:uid="{2950E760-EBD1-41BF-B60C-08B54B0413C9}" name="Payment Method" dataDxfId="1"/>
    <tableColumn id="2" xr3:uid="{FCA15FA0-2163-4CFE-8CE8-0E2A6D94C403}" name="Transactions (In Lakhs)" dataDxfId="0"/>
    <tableColumn id="3" xr3:uid="{3E60C9DA-CDC4-4B12-82FB-1D3A7F61728B}" name="Amount_x000a_(In Crore Rupees)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opLeftCell="A210" workbookViewId="0">
      <selection activeCell="A225" sqref="A225"/>
    </sheetView>
  </sheetViews>
  <sheetFormatPr defaultRowHeight="14.4" x14ac:dyDescent="0.3"/>
  <cols>
    <col min="1" max="1" width="52.33203125" style="2" customWidth="1"/>
    <col min="2" max="2" width="34.21875" style="3" customWidth="1"/>
    <col min="3" max="3" width="20.109375" style="4" customWidth="1"/>
    <col min="4" max="4" width="32.109375" style="3" customWidth="1"/>
    <col min="5" max="5" width="20.6640625" style="5" customWidth="1"/>
  </cols>
  <sheetData>
    <row r="1" spans="1:5" ht="26.4" x14ac:dyDescent="0.3">
      <c r="A1" s="23" t="s">
        <v>830</v>
      </c>
      <c r="B1" s="24" t="s">
        <v>224</v>
      </c>
      <c r="C1" s="24" t="s">
        <v>838</v>
      </c>
      <c r="D1" s="24" t="s">
        <v>225</v>
      </c>
      <c r="E1" s="25" t="s">
        <v>839</v>
      </c>
    </row>
    <row r="2" spans="1:5" x14ac:dyDescent="0.3">
      <c r="A2" s="21" t="s">
        <v>0</v>
      </c>
      <c r="B2" s="9">
        <v>131799</v>
      </c>
      <c r="C2" s="10">
        <v>37261.448749399999</v>
      </c>
      <c r="D2" s="9">
        <v>287683</v>
      </c>
      <c r="E2" s="22">
        <v>85937.574319099993</v>
      </c>
    </row>
    <row r="3" spans="1:5" x14ac:dyDescent="0.3">
      <c r="A3" s="21" t="s">
        <v>1</v>
      </c>
      <c r="B3" s="9">
        <v>36617</v>
      </c>
      <c r="C3" s="11">
        <v>35469.0931681</v>
      </c>
      <c r="D3" s="9">
        <v>54205</v>
      </c>
      <c r="E3" s="22">
        <v>37390.5674401</v>
      </c>
    </row>
    <row r="4" spans="1:5" x14ac:dyDescent="0.3">
      <c r="A4" s="21" t="s">
        <v>2</v>
      </c>
      <c r="B4" s="9">
        <v>18777</v>
      </c>
      <c r="C4" s="11">
        <v>10951.317172000001</v>
      </c>
      <c r="D4" s="9">
        <v>18529</v>
      </c>
      <c r="E4" s="22">
        <v>15444.251237300001</v>
      </c>
    </row>
    <row r="5" spans="1:5" x14ac:dyDescent="0.3">
      <c r="A5" s="21" t="s">
        <v>3</v>
      </c>
      <c r="B5" s="9">
        <v>50602</v>
      </c>
      <c r="C5" s="11">
        <v>327169.45917260001</v>
      </c>
      <c r="D5" s="9">
        <v>453600</v>
      </c>
      <c r="E5" s="22">
        <v>109493.74544100001</v>
      </c>
    </row>
    <row r="6" spans="1:5" x14ac:dyDescent="0.3">
      <c r="A6" s="21" t="s">
        <v>4</v>
      </c>
      <c r="B6" s="9">
        <v>19556</v>
      </c>
      <c r="C6" s="11">
        <v>12250.556512000001</v>
      </c>
      <c r="D6" s="9">
        <v>20864</v>
      </c>
      <c r="E6" s="22">
        <v>15206.933714300001</v>
      </c>
    </row>
    <row r="7" spans="1:5" x14ac:dyDescent="0.3">
      <c r="A7" s="21" t="s">
        <v>5</v>
      </c>
      <c r="B7" s="9">
        <v>38131</v>
      </c>
      <c r="C7" s="11">
        <v>6772.7656578999995</v>
      </c>
      <c r="D7" s="9">
        <v>26452</v>
      </c>
      <c r="E7" s="22">
        <v>10021.997312000001</v>
      </c>
    </row>
    <row r="8" spans="1:5" x14ac:dyDescent="0.3">
      <c r="A8" s="21" t="s">
        <v>6</v>
      </c>
      <c r="B8" s="9">
        <v>2056</v>
      </c>
      <c r="C8" s="11">
        <v>1586.5546318000002</v>
      </c>
      <c r="D8" s="9">
        <v>13174</v>
      </c>
      <c r="E8" s="22">
        <v>3179.1892905</v>
      </c>
    </row>
    <row r="9" spans="1:5" x14ac:dyDescent="0.3">
      <c r="A9" s="21" t="s">
        <v>7</v>
      </c>
      <c r="B9" s="9">
        <v>23469</v>
      </c>
      <c r="C9" s="11">
        <v>5676.8860984000003</v>
      </c>
      <c r="D9" s="9">
        <v>1161562</v>
      </c>
      <c r="E9" s="22">
        <v>352283.37276330002</v>
      </c>
    </row>
    <row r="10" spans="1:5" x14ac:dyDescent="0.3">
      <c r="A10" s="21" t="s">
        <v>8</v>
      </c>
      <c r="B10" s="9">
        <v>50180</v>
      </c>
      <c r="C10" s="11">
        <v>35827.552004899997</v>
      </c>
      <c r="D10" s="9">
        <v>313699</v>
      </c>
      <c r="E10" s="22">
        <v>68674.955495400005</v>
      </c>
    </row>
    <row r="11" spans="1:5" x14ac:dyDescent="0.3">
      <c r="A11" s="21" t="s">
        <v>9</v>
      </c>
      <c r="B11" s="9">
        <v>37242</v>
      </c>
      <c r="C11" s="11">
        <v>90695.717490700001</v>
      </c>
      <c r="D11" s="9">
        <v>10747</v>
      </c>
      <c r="E11" s="22">
        <v>104290.25315290001</v>
      </c>
    </row>
    <row r="12" spans="1:5" x14ac:dyDescent="0.3">
      <c r="A12" s="21" t="s">
        <v>10</v>
      </c>
      <c r="B12" s="9">
        <v>17416</v>
      </c>
      <c r="C12" s="11">
        <v>8284.8390739000006</v>
      </c>
      <c r="D12" s="9">
        <v>90007</v>
      </c>
      <c r="E12" s="22">
        <v>30736.711799299999</v>
      </c>
    </row>
    <row r="13" spans="1:5" x14ac:dyDescent="0.3">
      <c r="A13" s="21" t="s">
        <v>11</v>
      </c>
      <c r="B13" s="9">
        <v>4400</v>
      </c>
      <c r="C13" s="11">
        <v>3362.741595</v>
      </c>
      <c r="D13" s="9">
        <v>1223</v>
      </c>
      <c r="E13" s="22">
        <v>756.91597290000004</v>
      </c>
    </row>
    <row r="14" spans="1:5" x14ac:dyDescent="0.3">
      <c r="A14" s="21" t="s">
        <v>12</v>
      </c>
      <c r="B14" s="9">
        <v>384166</v>
      </c>
      <c r="C14" s="11">
        <v>282454.70793109998</v>
      </c>
      <c r="D14" s="9">
        <v>493985</v>
      </c>
      <c r="E14" s="22">
        <v>294629.81321380002</v>
      </c>
    </row>
    <row r="15" spans="1:5" x14ac:dyDescent="0.3">
      <c r="A15" s="21" t="s">
        <v>13</v>
      </c>
      <c r="B15" s="9">
        <v>23565827</v>
      </c>
      <c r="C15" s="11">
        <v>16743268.936482299</v>
      </c>
      <c r="D15" s="9">
        <v>14274596</v>
      </c>
      <c r="E15" s="22">
        <v>13522933.5256737</v>
      </c>
    </row>
    <row r="16" spans="1:5" x14ac:dyDescent="0.3">
      <c r="A16" s="21" t="s">
        <v>14</v>
      </c>
      <c r="B16" s="9">
        <v>18263</v>
      </c>
      <c r="C16" s="11">
        <v>14483.990724400001</v>
      </c>
      <c r="D16" s="9">
        <v>21468</v>
      </c>
      <c r="E16" s="22">
        <v>16016.433744600001</v>
      </c>
    </row>
    <row r="17" spans="1:5" x14ac:dyDescent="0.3">
      <c r="A17" s="21" t="s">
        <v>15</v>
      </c>
      <c r="B17" s="9">
        <v>48744</v>
      </c>
      <c r="C17" s="11">
        <v>23258.161180300001</v>
      </c>
      <c r="D17" s="9">
        <v>345314</v>
      </c>
      <c r="E17" s="22">
        <v>202010.27489599999</v>
      </c>
    </row>
    <row r="18" spans="1:5" x14ac:dyDescent="0.3">
      <c r="A18" s="21" t="s">
        <v>16</v>
      </c>
      <c r="B18" s="9">
        <v>421267</v>
      </c>
      <c r="C18" s="11">
        <v>1017926.4159303999</v>
      </c>
      <c r="D18" s="9">
        <v>166255</v>
      </c>
      <c r="E18" s="22">
        <v>1489449.6418802999</v>
      </c>
    </row>
    <row r="19" spans="1:5" x14ac:dyDescent="0.3">
      <c r="A19" s="21" t="s">
        <v>17</v>
      </c>
      <c r="B19" s="9">
        <v>1</v>
      </c>
      <c r="C19" s="11">
        <v>1E-3</v>
      </c>
      <c r="D19" s="9">
        <v>2</v>
      </c>
      <c r="E19" s="22">
        <v>5.0999999999999997E-2</v>
      </c>
    </row>
    <row r="20" spans="1:5" x14ac:dyDescent="0.3">
      <c r="A20" s="21" t="s">
        <v>18</v>
      </c>
      <c r="B20" s="9">
        <v>772898</v>
      </c>
      <c r="C20" s="11">
        <v>347012.35154349997</v>
      </c>
      <c r="D20" s="9">
        <v>963655</v>
      </c>
      <c r="E20" s="22">
        <v>459694.7966763</v>
      </c>
    </row>
    <row r="21" spans="1:5" x14ac:dyDescent="0.3">
      <c r="A21" s="21" t="s">
        <v>19</v>
      </c>
      <c r="B21" s="9">
        <v>1765</v>
      </c>
      <c r="C21" s="11">
        <v>2662.610561</v>
      </c>
      <c r="D21" s="9">
        <v>48</v>
      </c>
      <c r="E21" s="22">
        <v>519.10246610000002</v>
      </c>
    </row>
    <row r="22" spans="1:5" x14ac:dyDescent="0.3">
      <c r="A22" s="21" t="s">
        <v>20</v>
      </c>
      <c r="B22" s="9">
        <v>917462</v>
      </c>
      <c r="C22" s="11">
        <v>2410474.8070042003</v>
      </c>
      <c r="D22" s="9">
        <v>125194</v>
      </c>
      <c r="E22" s="22">
        <v>861772.49725440005</v>
      </c>
    </row>
    <row r="23" spans="1:5" x14ac:dyDescent="0.3">
      <c r="A23" s="21" t="s">
        <v>21</v>
      </c>
      <c r="B23" s="9">
        <v>6544</v>
      </c>
      <c r="C23" s="11">
        <v>48114.565100200001</v>
      </c>
      <c r="D23" s="9">
        <v>2203</v>
      </c>
      <c r="E23" s="22">
        <v>5990.7145785000002</v>
      </c>
    </row>
    <row r="24" spans="1:5" x14ac:dyDescent="0.3">
      <c r="A24" s="21" t="s">
        <v>22</v>
      </c>
      <c r="B24" s="9">
        <v>5534394</v>
      </c>
      <c r="C24" s="11">
        <v>4356996.0479247998</v>
      </c>
      <c r="D24" s="9">
        <v>20848550</v>
      </c>
      <c r="E24" s="22">
        <v>6818416.8911467008</v>
      </c>
    </row>
    <row r="25" spans="1:5" x14ac:dyDescent="0.3">
      <c r="A25" s="21" t="s">
        <v>23</v>
      </c>
      <c r="B25" s="9">
        <v>2861</v>
      </c>
      <c r="C25" s="11">
        <v>1235.8704172</v>
      </c>
      <c r="D25" s="9">
        <v>705</v>
      </c>
      <c r="E25" s="22">
        <v>1499.6444702000001</v>
      </c>
    </row>
    <row r="26" spans="1:5" x14ac:dyDescent="0.3">
      <c r="A26" s="21" t="s">
        <v>24</v>
      </c>
      <c r="B26" s="9">
        <v>3262436</v>
      </c>
      <c r="C26" s="11">
        <v>1522486.0479716</v>
      </c>
      <c r="D26" s="9">
        <v>11270878</v>
      </c>
      <c r="E26" s="22">
        <v>4137376.6899869</v>
      </c>
    </row>
    <row r="27" spans="1:5" x14ac:dyDescent="0.3">
      <c r="A27" s="21" t="s">
        <v>25</v>
      </c>
      <c r="B27" s="9">
        <v>1620431</v>
      </c>
      <c r="C27" s="11">
        <v>974147.59606130002</v>
      </c>
      <c r="D27" s="9">
        <v>3309947</v>
      </c>
      <c r="E27" s="22">
        <v>1817054.7270461</v>
      </c>
    </row>
    <row r="28" spans="1:5" x14ac:dyDescent="0.3">
      <c r="A28" s="21" t="s">
        <v>26</v>
      </c>
      <c r="B28" s="9">
        <v>391</v>
      </c>
      <c r="C28" s="11">
        <v>4014.8296502999997</v>
      </c>
      <c r="D28" s="9">
        <v>97</v>
      </c>
      <c r="E28" s="22">
        <v>27913.834440300001</v>
      </c>
    </row>
    <row r="29" spans="1:5" x14ac:dyDescent="0.3">
      <c r="A29" s="21" t="s">
        <v>27</v>
      </c>
      <c r="B29" s="9">
        <v>95138</v>
      </c>
      <c r="C29" s="11">
        <v>246378.83794560001</v>
      </c>
      <c r="D29" s="9">
        <v>10931</v>
      </c>
      <c r="E29" s="22">
        <v>313712.67728050001</v>
      </c>
    </row>
    <row r="30" spans="1:5" x14ac:dyDescent="0.3">
      <c r="A30" s="21" t="s">
        <v>28</v>
      </c>
      <c r="B30" s="9">
        <v>71166</v>
      </c>
      <c r="C30" s="11">
        <v>145856.56139760002</v>
      </c>
      <c r="D30" s="9">
        <v>16364</v>
      </c>
      <c r="E30" s="22">
        <v>298258.91157540004</v>
      </c>
    </row>
    <row r="31" spans="1:5" x14ac:dyDescent="0.3">
      <c r="A31" s="21" t="s">
        <v>29</v>
      </c>
      <c r="B31" s="9">
        <v>62843</v>
      </c>
      <c r="C31" s="11">
        <v>36080.116590799997</v>
      </c>
      <c r="D31" s="9">
        <v>114057</v>
      </c>
      <c r="E31" s="22">
        <v>53815.818117499999</v>
      </c>
    </row>
    <row r="32" spans="1:5" x14ac:dyDescent="0.3">
      <c r="A32" s="21" t="s">
        <v>30</v>
      </c>
      <c r="B32" s="9">
        <v>4968</v>
      </c>
      <c r="C32" s="11">
        <v>1386.7678819</v>
      </c>
      <c r="D32" s="9">
        <v>9011</v>
      </c>
      <c r="E32" s="22">
        <v>2492.4793258999998</v>
      </c>
    </row>
    <row r="33" spans="1:5" x14ac:dyDescent="0.3">
      <c r="A33" s="21" t="s">
        <v>31</v>
      </c>
      <c r="B33" s="9">
        <v>107096</v>
      </c>
      <c r="C33" s="11">
        <v>53812.422636199997</v>
      </c>
      <c r="D33" s="9">
        <v>222830</v>
      </c>
      <c r="E33" s="22">
        <v>103576.90481940001</v>
      </c>
    </row>
    <row r="34" spans="1:5" x14ac:dyDescent="0.3">
      <c r="A34" s="21" t="s">
        <v>32</v>
      </c>
      <c r="B34" s="9">
        <v>18780</v>
      </c>
      <c r="C34" s="11">
        <v>10097.5461873</v>
      </c>
      <c r="D34" s="9">
        <v>5558</v>
      </c>
      <c r="E34" s="22">
        <v>4352.5600867000003</v>
      </c>
    </row>
    <row r="35" spans="1:5" x14ac:dyDescent="0.3">
      <c r="A35" s="21" t="s">
        <v>33</v>
      </c>
      <c r="B35" s="9">
        <v>4779776</v>
      </c>
      <c r="C35" s="11">
        <v>2967321.1943713999</v>
      </c>
      <c r="D35" s="9">
        <v>13838178</v>
      </c>
      <c r="E35" s="22">
        <v>7610554.4583393009</v>
      </c>
    </row>
    <row r="36" spans="1:5" x14ac:dyDescent="0.3">
      <c r="A36" s="21" t="s">
        <v>34</v>
      </c>
      <c r="B36" s="9">
        <v>55101</v>
      </c>
      <c r="C36" s="11">
        <v>35437.307726200001</v>
      </c>
      <c r="D36" s="9">
        <v>85658</v>
      </c>
      <c r="E36" s="22">
        <v>49427.894597600003</v>
      </c>
    </row>
    <row r="37" spans="1:5" x14ac:dyDescent="0.3">
      <c r="A37" s="21" t="s">
        <v>35</v>
      </c>
      <c r="B37" s="9">
        <v>265129</v>
      </c>
      <c r="C37" s="11">
        <v>119342.6363023</v>
      </c>
      <c r="D37" s="9">
        <v>304027</v>
      </c>
      <c r="E37" s="22">
        <v>122988.40247840001</v>
      </c>
    </row>
    <row r="38" spans="1:5" x14ac:dyDescent="0.3">
      <c r="A38" s="21" t="s">
        <v>36</v>
      </c>
      <c r="B38" s="9">
        <v>2140689</v>
      </c>
      <c r="C38" s="11">
        <v>1643823.9673573002</v>
      </c>
      <c r="D38" s="9">
        <v>7358741</v>
      </c>
      <c r="E38" s="22">
        <v>2253719.5904776002</v>
      </c>
    </row>
    <row r="39" spans="1:5" x14ac:dyDescent="0.3">
      <c r="A39" s="21" t="s">
        <v>37</v>
      </c>
      <c r="B39" s="9">
        <v>8006541</v>
      </c>
      <c r="C39" s="11">
        <v>14307322.862671001</v>
      </c>
      <c r="D39" s="9">
        <v>2853312</v>
      </c>
      <c r="E39" s="22">
        <v>9776783.3774273992</v>
      </c>
    </row>
    <row r="40" spans="1:5" x14ac:dyDescent="0.3">
      <c r="A40" s="21" t="s">
        <v>38</v>
      </c>
      <c r="B40" s="9">
        <v>19287</v>
      </c>
      <c r="C40" s="11">
        <v>11249.453565799999</v>
      </c>
      <c r="D40" s="9">
        <v>40160</v>
      </c>
      <c r="E40" s="22">
        <v>17178.4020968</v>
      </c>
    </row>
    <row r="41" spans="1:5" x14ac:dyDescent="0.3">
      <c r="A41" s="21" t="s">
        <v>39</v>
      </c>
      <c r="B41" s="9">
        <v>1343709</v>
      </c>
      <c r="C41" s="11">
        <v>669582.05779019999</v>
      </c>
      <c r="D41" s="9">
        <v>1084941</v>
      </c>
      <c r="E41" s="22">
        <v>633130.76212830003</v>
      </c>
    </row>
    <row r="42" spans="1:5" x14ac:dyDescent="0.3">
      <c r="A42" s="21" t="s">
        <v>40</v>
      </c>
      <c r="B42" s="9">
        <v>4642</v>
      </c>
      <c r="C42" s="11">
        <v>2838.2333438999999</v>
      </c>
      <c r="D42" s="9">
        <v>8407</v>
      </c>
      <c r="E42" s="22">
        <v>4428.5949944000004</v>
      </c>
    </row>
    <row r="43" spans="1:5" x14ac:dyDescent="0.3">
      <c r="A43" s="21" t="s">
        <v>41</v>
      </c>
      <c r="B43" s="9">
        <v>17480</v>
      </c>
      <c r="C43" s="11">
        <v>4897.1677794999996</v>
      </c>
      <c r="D43" s="9">
        <v>1009410</v>
      </c>
      <c r="E43" s="22">
        <v>335697.32261219999</v>
      </c>
    </row>
    <row r="44" spans="1:5" x14ac:dyDescent="0.3">
      <c r="A44" s="21" t="s">
        <v>42</v>
      </c>
      <c r="B44" s="9">
        <v>162842</v>
      </c>
      <c r="C44" s="11">
        <v>174748.7904234</v>
      </c>
      <c r="D44" s="9">
        <v>272982</v>
      </c>
      <c r="E44" s="22">
        <v>174490.63895580001</v>
      </c>
    </row>
    <row r="45" spans="1:5" x14ac:dyDescent="0.3">
      <c r="A45" s="21" t="s">
        <v>43</v>
      </c>
      <c r="B45" s="9">
        <v>28054</v>
      </c>
      <c r="C45" s="11">
        <v>97654.040809599988</v>
      </c>
      <c r="D45" s="9">
        <v>4156</v>
      </c>
      <c r="E45" s="22">
        <v>304543.73488990002</v>
      </c>
    </row>
    <row r="46" spans="1:5" x14ac:dyDescent="0.3">
      <c r="A46" s="21" t="s">
        <v>44</v>
      </c>
      <c r="B46" s="9">
        <v>39</v>
      </c>
      <c r="C46" s="11">
        <v>57.236725399999997</v>
      </c>
      <c r="D46" s="9">
        <v>81</v>
      </c>
      <c r="E46" s="22">
        <v>10426.570523599999</v>
      </c>
    </row>
    <row r="47" spans="1:5" x14ac:dyDescent="0.3">
      <c r="A47" s="21" t="s">
        <v>45</v>
      </c>
      <c r="B47" s="9">
        <v>2984</v>
      </c>
      <c r="C47" s="11">
        <v>9219.8661377999997</v>
      </c>
      <c r="D47" s="9">
        <v>774</v>
      </c>
      <c r="E47" s="22">
        <v>41507.371703099998</v>
      </c>
    </row>
    <row r="48" spans="1:5" x14ac:dyDescent="0.3">
      <c r="A48" s="21" t="s">
        <v>46</v>
      </c>
      <c r="B48" s="9">
        <v>255371</v>
      </c>
      <c r="C48" s="11">
        <v>208082.66052029998</v>
      </c>
      <c r="D48" s="9">
        <v>333897</v>
      </c>
      <c r="E48" s="22">
        <v>261216.49942990002</v>
      </c>
    </row>
    <row r="49" spans="1:5" x14ac:dyDescent="0.3">
      <c r="A49" s="21" t="s">
        <v>47</v>
      </c>
      <c r="B49" s="9">
        <v>2794</v>
      </c>
      <c r="C49" s="11">
        <v>1420.2696246</v>
      </c>
      <c r="D49" s="9">
        <v>8767</v>
      </c>
      <c r="E49" s="22">
        <v>6542.756340599999</v>
      </c>
    </row>
    <row r="50" spans="1:5" x14ac:dyDescent="0.3">
      <c r="A50" s="21" t="s">
        <v>48</v>
      </c>
      <c r="B50" s="9">
        <v>11545</v>
      </c>
      <c r="C50" s="11">
        <v>10342.854049600001</v>
      </c>
      <c r="D50" s="9">
        <v>16757</v>
      </c>
      <c r="E50" s="22">
        <v>7554.1838810999998</v>
      </c>
    </row>
    <row r="51" spans="1:5" x14ac:dyDescent="0.3">
      <c r="A51" s="21" t="s">
        <v>49</v>
      </c>
      <c r="B51" s="9">
        <v>3122043</v>
      </c>
      <c r="C51" s="11">
        <v>5126687.2617552001</v>
      </c>
      <c r="D51" s="9">
        <v>442297</v>
      </c>
      <c r="E51" s="22">
        <v>3389571.9434353998</v>
      </c>
    </row>
    <row r="52" spans="1:5" x14ac:dyDescent="0.3">
      <c r="A52" s="21" t="s">
        <v>50</v>
      </c>
      <c r="B52" s="9">
        <v>781455</v>
      </c>
      <c r="C52" s="11">
        <v>1225213.0614479</v>
      </c>
      <c r="D52" s="9">
        <v>401737</v>
      </c>
      <c r="E52" s="22">
        <v>654031.06101920002</v>
      </c>
    </row>
    <row r="53" spans="1:5" x14ac:dyDescent="0.3">
      <c r="A53" s="21" t="s">
        <v>51</v>
      </c>
      <c r="B53" s="9">
        <v>178516</v>
      </c>
      <c r="C53" s="11">
        <v>65545.933534900003</v>
      </c>
      <c r="D53" s="9">
        <v>257105</v>
      </c>
      <c r="E53" s="22">
        <v>93729.5983347</v>
      </c>
    </row>
    <row r="54" spans="1:5" x14ac:dyDescent="0.3">
      <c r="A54" s="21" t="s">
        <v>52</v>
      </c>
      <c r="B54" s="9">
        <v>73</v>
      </c>
      <c r="C54" s="11">
        <v>103.04924539999999</v>
      </c>
      <c r="D54" s="9">
        <v>14</v>
      </c>
      <c r="E54" s="22">
        <v>2709.1348488999997</v>
      </c>
    </row>
    <row r="55" spans="1:5" x14ac:dyDescent="0.3">
      <c r="A55" s="21" t="s">
        <v>53</v>
      </c>
      <c r="B55" s="9">
        <v>4170</v>
      </c>
      <c r="C55" s="11">
        <v>4582.2113780999998</v>
      </c>
      <c r="D55" s="9">
        <v>16232</v>
      </c>
      <c r="E55" s="22">
        <v>4887.7309847000006</v>
      </c>
    </row>
    <row r="56" spans="1:5" x14ac:dyDescent="0.3">
      <c r="A56" s="21" t="s">
        <v>54</v>
      </c>
      <c r="B56" s="9">
        <v>21941</v>
      </c>
      <c r="C56" s="11">
        <v>24129.478684400001</v>
      </c>
      <c r="D56" s="9">
        <v>2395</v>
      </c>
      <c r="E56" s="22">
        <v>3865.1143008999998</v>
      </c>
    </row>
    <row r="57" spans="1:5" x14ac:dyDescent="0.3">
      <c r="A57" s="21" t="s">
        <v>55</v>
      </c>
      <c r="B57" s="9">
        <v>26849</v>
      </c>
      <c r="C57" s="11">
        <v>10031.5090358</v>
      </c>
      <c r="D57" s="9">
        <v>84311</v>
      </c>
      <c r="E57" s="22">
        <v>27231.700973499999</v>
      </c>
    </row>
    <row r="58" spans="1:5" x14ac:dyDescent="0.3">
      <c r="A58" s="21" t="s">
        <v>56</v>
      </c>
      <c r="B58" s="9">
        <v>2118</v>
      </c>
      <c r="C58" s="11">
        <v>714.08249469999998</v>
      </c>
      <c r="D58" s="9">
        <v>7803</v>
      </c>
      <c r="E58" s="22">
        <v>3347.8508033999997</v>
      </c>
    </row>
    <row r="59" spans="1:5" x14ac:dyDescent="0.3">
      <c r="A59" s="21" t="s">
        <v>57</v>
      </c>
      <c r="B59" s="9">
        <v>12860</v>
      </c>
      <c r="C59" s="11">
        <v>23803.122726799997</v>
      </c>
      <c r="D59" s="9">
        <v>362</v>
      </c>
      <c r="E59" s="22">
        <v>2590.1860080000001</v>
      </c>
    </row>
    <row r="60" spans="1:5" x14ac:dyDescent="0.3">
      <c r="A60" s="21" t="s">
        <v>58</v>
      </c>
      <c r="B60" s="9">
        <v>558973</v>
      </c>
      <c r="C60" s="11">
        <v>187629.1313948</v>
      </c>
      <c r="D60" s="9">
        <v>268185</v>
      </c>
      <c r="E60" s="22">
        <v>115216.0891582</v>
      </c>
    </row>
    <row r="61" spans="1:5" x14ac:dyDescent="0.3">
      <c r="A61" s="21" t="s">
        <v>59</v>
      </c>
      <c r="B61" s="9">
        <v>55813</v>
      </c>
      <c r="C61" s="11">
        <v>25755.4821815</v>
      </c>
      <c r="D61" s="9">
        <v>134577</v>
      </c>
      <c r="E61" s="22">
        <v>43478.062969099999</v>
      </c>
    </row>
    <row r="62" spans="1:5" x14ac:dyDescent="0.3">
      <c r="A62" s="21" t="s">
        <v>60</v>
      </c>
      <c r="B62" s="9">
        <v>0</v>
      </c>
      <c r="C62" s="11">
        <v>0</v>
      </c>
      <c r="D62" s="9">
        <v>189</v>
      </c>
      <c r="E62" s="22">
        <v>388161.68309539999</v>
      </c>
    </row>
    <row r="63" spans="1:5" x14ac:dyDescent="0.3">
      <c r="A63" s="21" t="s">
        <v>61</v>
      </c>
      <c r="B63" s="9">
        <v>3626152</v>
      </c>
      <c r="C63" s="11">
        <v>1964904.0477024</v>
      </c>
      <c r="D63" s="9">
        <v>3088745</v>
      </c>
      <c r="E63" s="22">
        <v>1502326.0269976999</v>
      </c>
    </row>
    <row r="64" spans="1:5" x14ac:dyDescent="0.3">
      <c r="A64" s="21" t="s">
        <v>62</v>
      </c>
      <c r="B64" s="9">
        <v>20857</v>
      </c>
      <c r="C64" s="11">
        <v>11826.528845499999</v>
      </c>
      <c r="D64" s="9">
        <v>39372</v>
      </c>
      <c r="E64" s="22">
        <v>13690.9781348</v>
      </c>
    </row>
    <row r="65" spans="1:5" x14ac:dyDescent="0.3">
      <c r="A65" s="21" t="s">
        <v>63</v>
      </c>
      <c r="B65" s="9">
        <v>528589</v>
      </c>
      <c r="C65" s="11">
        <v>51029.655081999997</v>
      </c>
      <c r="D65" s="9">
        <v>304291</v>
      </c>
      <c r="E65" s="22">
        <v>40051.493552</v>
      </c>
    </row>
    <row r="66" spans="1:5" x14ac:dyDescent="0.3">
      <c r="A66" s="21" t="s">
        <v>64</v>
      </c>
      <c r="B66" s="9">
        <v>38</v>
      </c>
      <c r="C66" s="11">
        <v>11.838312800000001</v>
      </c>
      <c r="D66" s="9">
        <v>10</v>
      </c>
      <c r="E66" s="22">
        <v>59.361648499999994</v>
      </c>
    </row>
    <row r="67" spans="1:5" x14ac:dyDescent="0.3">
      <c r="A67" s="21" t="s">
        <v>65</v>
      </c>
      <c r="B67" s="9">
        <v>47910</v>
      </c>
      <c r="C67" s="11">
        <v>29381.292978499998</v>
      </c>
      <c r="D67" s="9">
        <v>116963</v>
      </c>
      <c r="E67" s="22">
        <v>52653.917891099998</v>
      </c>
    </row>
    <row r="68" spans="1:5" x14ac:dyDescent="0.3">
      <c r="A68" s="21" t="s">
        <v>66</v>
      </c>
      <c r="B68" s="9">
        <v>9278</v>
      </c>
      <c r="C68" s="11">
        <v>3511.8559822000002</v>
      </c>
      <c r="D68" s="9">
        <v>48441</v>
      </c>
      <c r="E68" s="22">
        <v>11942.858751</v>
      </c>
    </row>
    <row r="69" spans="1:5" x14ac:dyDescent="0.3">
      <c r="A69" s="21" t="s">
        <v>67</v>
      </c>
      <c r="B69" s="9">
        <v>39540665</v>
      </c>
      <c r="C69" s="11">
        <v>30320326.2225352</v>
      </c>
      <c r="D69" s="9">
        <v>29378459</v>
      </c>
      <c r="E69" s="22">
        <v>37640060.046395294</v>
      </c>
    </row>
    <row r="70" spans="1:5" x14ac:dyDescent="0.3">
      <c r="A70" s="21" t="s">
        <v>68</v>
      </c>
      <c r="B70" s="9">
        <v>83159</v>
      </c>
      <c r="C70" s="11">
        <v>15835.0418634</v>
      </c>
      <c r="D70" s="9">
        <v>78200</v>
      </c>
      <c r="E70" s="22">
        <v>30651.1759938</v>
      </c>
    </row>
    <row r="71" spans="1:5" x14ac:dyDescent="0.3">
      <c r="A71" s="21" t="s">
        <v>69</v>
      </c>
      <c r="B71" s="9">
        <v>2831800</v>
      </c>
      <c r="C71" s="11">
        <v>7113587.6251571998</v>
      </c>
      <c r="D71" s="9">
        <v>967565</v>
      </c>
      <c r="E71" s="22">
        <v>5648544.9868513998</v>
      </c>
    </row>
    <row r="72" spans="1:5" x14ac:dyDescent="0.3">
      <c r="A72" s="21" t="s">
        <v>70</v>
      </c>
      <c r="B72" s="9">
        <v>29788150</v>
      </c>
      <c r="C72" s="11">
        <v>19197980.1459467</v>
      </c>
      <c r="D72" s="9">
        <v>23092055</v>
      </c>
      <c r="E72" s="22">
        <v>20833632.526279699</v>
      </c>
    </row>
    <row r="73" spans="1:5" x14ac:dyDescent="0.3">
      <c r="A73" s="21" t="s">
        <v>71</v>
      </c>
      <c r="B73" s="9">
        <v>8230780</v>
      </c>
      <c r="C73" s="11">
        <v>4520557.7547856998</v>
      </c>
      <c r="D73" s="9">
        <v>5124911</v>
      </c>
      <c r="E73" s="22">
        <v>4025576.2865077001</v>
      </c>
    </row>
    <row r="74" spans="1:5" x14ac:dyDescent="0.3">
      <c r="A74" s="21" t="s">
        <v>72</v>
      </c>
      <c r="B74" s="9">
        <v>1913657</v>
      </c>
      <c r="C74" s="11">
        <v>1646611.2627856</v>
      </c>
      <c r="D74" s="9">
        <v>1379024</v>
      </c>
      <c r="E74" s="22">
        <v>1363479.3475309</v>
      </c>
    </row>
    <row r="75" spans="1:5" x14ac:dyDescent="0.3">
      <c r="A75" s="21" t="s">
        <v>73</v>
      </c>
      <c r="B75" s="9">
        <v>6448</v>
      </c>
      <c r="C75" s="11">
        <v>5603.5721221000003</v>
      </c>
      <c r="D75" s="9">
        <v>8918</v>
      </c>
      <c r="E75" s="22">
        <v>3991.8417354000003</v>
      </c>
    </row>
    <row r="76" spans="1:5" x14ac:dyDescent="0.3">
      <c r="A76" s="21" t="s">
        <v>74</v>
      </c>
      <c r="B76" s="9">
        <v>624825</v>
      </c>
      <c r="C76" s="11">
        <v>296960.55777730001</v>
      </c>
      <c r="D76" s="9">
        <v>479763</v>
      </c>
      <c r="E76" s="22">
        <v>188307.40309029998</v>
      </c>
    </row>
    <row r="77" spans="1:5" x14ac:dyDescent="0.3">
      <c r="A77" s="21" t="s">
        <v>75</v>
      </c>
      <c r="B77" s="9">
        <v>3035720</v>
      </c>
      <c r="C77" s="11">
        <v>2264777.2588283001</v>
      </c>
      <c r="D77" s="9">
        <v>11068061</v>
      </c>
      <c r="E77" s="22">
        <v>3686943.3155556</v>
      </c>
    </row>
    <row r="78" spans="1:5" x14ac:dyDescent="0.3">
      <c r="A78" s="21" t="s">
        <v>76</v>
      </c>
      <c r="B78" s="9">
        <v>1993404</v>
      </c>
      <c r="C78" s="11">
        <v>1300772.4311047001</v>
      </c>
      <c r="D78" s="9">
        <v>5680141</v>
      </c>
      <c r="E78" s="22">
        <v>1758145.8198782001</v>
      </c>
    </row>
    <row r="79" spans="1:5" x14ac:dyDescent="0.3">
      <c r="A79" s="21" t="s">
        <v>77</v>
      </c>
      <c r="B79" s="9">
        <v>4747916</v>
      </c>
      <c r="C79" s="11">
        <v>3133234.7763828998</v>
      </c>
      <c r="D79" s="9">
        <v>3069490</v>
      </c>
      <c r="E79" s="22">
        <v>3062582.8866721001</v>
      </c>
    </row>
    <row r="80" spans="1:5" x14ac:dyDescent="0.3">
      <c r="A80" s="21" t="s">
        <v>78</v>
      </c>
      <c r="B80" s="9">
        <v>934</v>
      </c>
      <c r="C80" s="11">
        <v>32536.880500900003</v>
      </c>
      <c r="D80" s="9">
        <v>87</v>
      </c>
      <c r="E80" s="22">
        <v>11094.009485499999</v>
      </c>
    </row>
    <row r="81" spans="1:5" x14ac:dyDescent="0.3">
      <c r="A81" s="21" t="s">
        <v>79</v>
      </c>
      <c r="B81" s="9">
        <v>4237</v>
      </c>
      <c r="C81" s="11">
        <v>5840.4903097000006</v>
      </c>
      <c r="D81" s="9">
        <v>468</v>
      </c>
      <c r="E81" s="22">
        <v>18757.2558928</v>
      </c>
    </row>
    <row r="82" spans="1:5" x14ac:dyDescent="0.3">
      <c r="A82" s="21" t="s">
        <v>80</v>
      </c>
      <c r="B82" s="9">
        <v>2058</v>
      </c>
      <c r="C82" s="11">
        <v>864.59424519999993</v>
      </c>
      <c r="D82" s="9">
        <v>1477</v>
      </c>
      <c r="E82" s="22">
        <v>659.13313590000007</v>
      </c>
    </row>
    <row r="83" spans="1:5" x14ac:dyDescent="0.3">
      <c r="A83" s="21" t="s">
        <v>81</v>
      </c>
      <c r="B83" s="9">
        <v>14527</v>
      </c>
      <c r="C83" s="11">
        <v>6090.2779859000002</v>
      </c>
      <c r="D83" s="9">
        <v>25136</v>
      </c>
      <c r="E83" s="22">
        <v>11155.137035199999</v>
      </c>
    </row>
    <row r="84" spans="1:5" x14ac:dyDescent="0.3">
      <c r="A84" s="21" t="s">
        <v>82</v>
      </c>
      <c r="B84" s="9">
        <v>13957</v>
      </c>
      <c r="C84" s="11">
        <v>13287.038103800001</v>
      </c>
      <c r="D84" s="9">
        <v>32146</v>
      </c>
      <c r="E84" s="22">
        <v>13491.8852071</v>
      </c>
    </row>
    <row r="85" spans="1:5" x14ac:dyDescent="0.3">
      <c r="A85" s="21" t="s">
        <v>83</v>
      </c>
      <c r="B85" s="9">
        <v>835306</v>
      </c>
      <c r="C85" s="11">
        <v>411866.33760209999</v>
      </c>
      <c r="D85" s="9">
        <v>925901</v>
      </c>
      <c r="E85" s="22">
        <v>608331.8620654</v>
      </c>
    </row>
    <row r="86" spans="1:5" x14ac:dyDescent="0.3">
      <c r="A86" s="21" t="s">
        <v>84</v>
      </c>
      <c r="B86" s="9">
        <v>100942</v>
      </c>
      <c r="C86" s="11">
        <v>78292.578856099994</v>
      </c>
      <c r="D86" s="9">
        <v>50661</v>
      </c>
      <c r="E86" s="22">
        <v>44612.189409600003</v>
      </c>
    </row>
    <row r="87" spans="1:5" x14ac:dyDescent="0.3">
      <c r="A87" s="21" t="s">
        <v>85</v>
      </c>
      <c r="B87" s="9">
        <v>21952</v>
      </c>
      <c r="C87" s="11">
        <v>7170.3172382000002</v>
      </c>
      <c r="D87" s="9">
        <v>42194</v>
      </c>
      <c r="E87" s="22">
        <v>18187.711719300001</v>
      </c>
    </row>
    <row r="88" spans="1:5" x14ac:dyDescent="0.3">
      <c r="A88" s="21" t="s">
        <v>86</v>
      </c>
      <c r="B88" s="9">
        <v>97811</v>
      </c>
      <c r="C88" s="11">
        <v>42423.4257487</v>
      </c>
      <c r="D88" s="9">
        <v>119366</v>
      </c>
      <c r="E88" s="22">
        <v>74581.199850399993</v>
      </c>
    </row>
    <row r="89" spans="1:5" x14ac:dyDescent="0.3">
      <c r="A89" s="21" t="s">
        <v>87</v>
      </c>
      <c r="B89" s="9">
        <v>1318</v>
      </c>
      <c r="C89" s="11">
        <v>686.92660109999997</v>
      </c>
      <c r="D89" s="9">
        <v>698</v>
      </c>
      <c r="E89" s="22">
        <v>597.2465406</v>
      </c>
    </row>
    <row r="90" spans="1:5" x14ac:dyDescent="0.3">
      <c r="A90" s="21" t="s">
        <v>88</v>
      </c>
      <c r="B90" s="9">
        <v>4383</v>
      </c>
      <c r="C90" s="11">
        <v>1533.0448128999999</v>
      </c>
      <c r="D90" s="9">
        <v>9801</v>
      </c>
      <c r="E90" s="22">
        <v>2750.3299648000002</v>
      </c>
    </row>
    <row r="91" spans="1:5" x14ac:dyDescent="0.3">
      <c r="A91" s="21" t="s">
        <v>89</v>
      </c>
      <c r="B91" s="9">
        <v>9424</v>
      </c>
      <c r="C91" s="11">
        <v>5117.7625078999999</v>
      </c>
      <c r="D91" s="9">
        <v>37715</v>
      </c>
      <c r="E91" s="22">
        <v>13038.7402031</v>
      </c>
    </row>
    <row r="92" spans="1:5" x14ac:dyDescent="0.3">
      <c r="A92" s="21" t="s">
        <v>90</v>
      </c>
      <c r="B92" s="9">
        <v>550073</v>
      </c>
      <c r="C92" s="11">
        <v>824345.31906030001</v>
      </c>
      <c r="D92" s="9">
        <v>36005</v>
      </c>
      <c r="E92" s="22">
        <v>796488.22339920001</v>
      </c>
    </row>
    <row r="93" spans="1:5" x14ac:dyDescent="0.3">
      <c r="A93" s="21" t="s">
        <v>91</v>
      </c>
      <c r="B93" s="9">
        <v>4367</v>
      </c>
      <c r="C93" s="11">
        <v>288.77603350000004</v>
      </c>
      <c r="D93" s="9">
        <v>63509</v>
      </c>
      <c r="E93" s="22">
        <v>1136.9371317</v>
      </c>
    </row>
    <row r="94" spans="1:5" x14ac:dyDescent="0.3">
      <c r="A94" s="21" t="s">
        <v>92</v>
      </c>
      <c r="B94" s="9">
        <v>22801</v>
      </c>
      <c r="C94" s="11">
        <v>11560.322660999998</v>
      </c>
      <c r="D94" s="9">
        <v>37180</v>
      </c>
      <c r="E94" s="22">
        <v>18011.9649016</v>
      </c>
    </row>
    <row r="95" spans="1:5" x14ac:dyDescent="0.3">
      <c r="A95" s="21" t="s">
        <v>93</v>
      </c>
      <c r="B95" s="9">
        <v>108379</v>
      </c>
      <c r="C95" s="11">
        <v>73722.827869399989</v>
      </c>
      <c r="D95" s="9">
        <v>167899</v>
      </c>
      <c r="E95" s="22">
        <v>123791.23232920001</v>
      </c>
    </row>
    <row r="96" spans="1:5" x14ac:dyDescent="0.3">
      <c r="A96" s="21" t="s">
        <v>94</v>
      </c>
      <c r="B96" s="9">
        <v>16436</v>
      </c>
      <c r="C96" s="11">
        <v>11807.463986600002</v>
      </c>
      <c r="D96" s="9">
        <v>62411</v>
      </c>
      <c r="E96" s="22">
        <v>20805.1899208</v>
      </c>
    </row>
    <row r="97" spans="1:5" x14ac:dyDescent="0.3">
      <c r="A97" s="21" t="s">
        <v>95</v>
      </c>
      <c r="B97" s="9">
        <v>18781</v>
      </c>
      <c r="C97" s="11">
        <v>11616.709766</v>
      </c>
      <c r="D97" s="9">
        <v>32551</v>
      </c>
      <c r="E97" s="22">
        <v>19754.957329299999</v>
      </c>
    </row>
    <row r="98" spans="1:5" x14ac:dyDescent="0.3">
      <c r="A98" s="21" t="s">
        <v>96</v>
      </c>
      <c r="B98" s="9">
        <v>627166</v>
      </c>
      <c r="C98" s="11">
        <v>383061.04897360003</v>
      </c>
      <c r="D98" s="9">
        <v>1767948</v>
      </c>
      <c r="E98" s="22">
        <v>665131.52571349998</v>
      </c>
    </row>
    <row r="99" spans="1:5" x14ac:dyDescent="0.3">
      <c r="A99" s="21" t="s">
        <v>97</v>
      </c>
      <c r="B99" s="9">
        <v>69078</v>
      </c>
      <c r="C99" s="11">
        <v>27646.5051432</v>
      </c>
      <c r="D99" s="9">
        <v>74990</v>
      </c>
      <c r="E99" s="22">
        <v>36870.3528449</v>
      </c>
    </row>
    <row r="100" spans="1:5" x14ac:dyDescent="0.3">
      <c r="A100" s="21" t="s">
        <v>98</v>
      </c>
      <c r="B100" s="9">
        <v>64191</v>
      </c>
      <c r="C100" s="11">
        <v>88150.854851600001</v>
      </c>
      <c r="D100" s="9">
        <v>222950</v>
      </c>
      <c r="E100" s="22">
        <v>61242.833985200006</v>
      </c>
    </row>
    <row r="101" spans="1:5" x14ac:dyDescent="0.3">
      <c r="A101" s="21" t="s">
        <v>99</v>
      </c>
      <c r="B101" s="9">
        <v>1523188</v>
      </c>
      <c r="C101" s="11">
        <v>905372.50101630006</v>
      </c>
      <c r="D101" s="9">
        <v>2028584</v>
      </c>
      <c r="E101" s="22">
        <v>1038356.5488527</v>
      </c>
    </row>
    <row r="102" spans="1:5" x14ac:dyDescent="0.3">
      <c r="A102" s="21" t="s">
        <v>100</v>
      </c>
      <c r="B102" s="9">
        <v>2364</v>
      </c>
      <c r="C102" s="11">
        <v>957.2730464</v>
      </c>
      <c r="D102" s="9">
        <v>1448</v>
      </c>
      <c r="E102" s="22">
        <v>815.30325760000005</v>
      </c>
    </row>
    <row r="103" spans="1:5" x14ac:dyDescent="0.3">
      <c r="A103" s="21" t="s">
        <v>101</v>
      </c>
      <c r="B103" s="9">
        <v>303</v>
      </c>
      <c r="C103" s="11">
        <v>193.76632739999999</v>
      </c>
      <c r="D103" s="9">
        <v>138</v>
      </c>
      <c r="E103" s="22">
        <v>720.33320749999996</v>
      </c>
    </row>
    <row r="104" spans="1:5" x14ac:dyDescent="0.3">
      <c r="A104" s="21" t="s">
        <v>102</v>
      </c>
      <c r="B104" s="9">
        <v>3249</v>
      </c>
      <c r="C104" s="11">
        <v>30685.414411599999</v>
      </c>
      <c r="D104" s="9">
        <v>962</v>
      </c>
      <c r="E104" s="22">
        <v>41053.947544899995</v>
      </c>
    </row>
    <row r="105" spans="1:5" x14ac:dyDescent="0.3">
      <c r="A105" s="21" t="s">
        <v>103</v>
      </c>
      <c r="B105" s="9">
        <v>8892377</v>
      </c>
      <c r="C105" s="11">
        <v>7011105.2223423999</v>
      </c>
      <c r="D105" s="9">
        <v>8287679</v>
      </c>
      <c r="E105" s="22">
        <v>7488205.4428183995</v>
      </c>
    </row>
    <row r="106" spans="1:5" x14ac:dyDescent="0.3">
      <c r="A106" s="21" t="s">
        <v>104</v>
      </c>
      <c r="B106" s="9">
        <v>18456</v>
      </c>
      <c r="C106" s="11">
        <v>24736.119606</v>
      </c>
      <c r="D106" s="9">
        <v>18716</v>
      </c>
      <c r="E106" s="22">
        <v>11586.428254599999</v>
      </c>
    </row>
    <row r="107" spans="1:5" x14ac:dyDescent="0.3">
      <c r="A107" s="21" t="s">
        <v>105</v>
      </c>
      <c r="B107" s="9">
        <v>76498</v>
      </c>
      <c r="C107" s="11">
        <v>232739.42707450001</v>
      </c>
      <c r="D107" s="9">
        <v>356937</v>
      </c>
      <c r="E107" s="22">
        <v>101689.7610898</v>
      </c>
    </row>
    <row r="108" spans="1:5" x14ac:dyDescent="0.3">
      <c r="A108" s="21" t="s">
        <v>106</v>
      </c>
      <c r="B108" s="9">
        <v>112812</v>
      </c>
      <c r="C108" s="11">
        <v>103879.17907459999</v>
      </c>
      <c r="D108" s="9">
        <v>791463</v>
      </c>
      <c r="E108" s="22">
        <v>157226.11471910001</v>
      </c>
    </row>
    <row r="109" spans="1:5" x14ac:dyDescent="0.3">
      <c r="A109" s="21" t="s">
        <v>107</v>
      </c>
      <c r="B109" s="9">
        <v>12194</v>
      </c>
      <c r="C109" s="11">
        <v>25797.353133699999</v>
      </c>
      <c r="D109" s="9">
        <v>22596</v>
      </c>
      <c r="E109" s="22">
        <v>15726.7456024</v>
      </c>
    </row>
    <row r="110" spans="1:5" x14ac:dyDescent="0.3">
      <c r="A110" s="21" t="s">
        <v>108</v>
      </c>
      <c r="B110" s="9">
        <v>20</v>
      </c>
      <c r="C110" s="11">
        <v>14.697524599999999</v>
      </c>
      <c r="D110" s="9">
        <v>2</v>
      </c>
      <c r="E110" s="22">
        <v>0.95643</v>
      </c>
    </row>
    <row r="111" spans="1:5" x14ac:dyDescent="0.3">
      <c r="A111" s="21" t="s">
        <v>109</v>
      </c>
      <c r="B111" s="9">
        <v>375941</v>
      </c>
      <c r="C111" s="11">
        <v>178065.48917819999</v>
      </c>
      <c r="D111" s="9">
        <v>428152</v>
      </c>
      <c r="E111" s="22">
        <v>192388.16903299998</v>
      </c>
    </row>
    <row r="112" spans="1:5" x14ac:dyDescent="0.3">
      <c r="A112" s="21" t="s">
        <v>110</v>
      </c>
      <c r="B112" s="9">
        <v>14056</v>
      </c>
      <c r="C112" s="11">
        <v>9125.6981529999994</v>
      </c>
      <c r="D112" s="9">
        <v>60957</v>
      </c>
      <c r="E112" s="22">
        <v>22538.915567199998</v>
      </c>
    </row>
    <row r="113" spans="1:5" x14ac:dyDescent="0.3">
      <c r="A113" s="21" t="s">
        <v>111</v>
      </c>
      <c r="B113" s="9">
        <v>76905</v>
      </c>
      <c r="C113" s="11">
        <v>48922.412847600004</v>
      </c>
      <c r="D113" s="9">
        <v>205321</v>
      </c>
      <c r="E113" s="22">
        <v>67835.605039899994</v>
      </c>
    </row>
    <row r="114" spans="1:5" x14ac:dyDescent="0.3">
      <c r="A114" s="21" t="s">
        <v>112</v>
      </c>
      <c r="B114" s="9">
        <v>8990</v>
      </c>
      <c r="C114" s="11">
        <v>10998.4573127</v>
      </c>
      <c r="D114" s="9">
        <v>21179</v>
      </c>
      <c r="E114" s="22">
        <v>48825.2162924</v>
      </c>
    </row>
    <row r="115" spans="1:5" x14ac:dyDescent="0.3">
      <c r="A115" s="21" t="s">
        <v>113</v>
      </c>
      <c r="B115" s="9">
        <v>9039</v>
      </c>
      <c r="C115" s="11">
        <v>5555.4904749999996</v>
      </c>
      <c r="D115" s="9">
        <v>14257</v>
      </c>
      <c r="E115" s="22">
        <v>9293.5175952999998</v>
      </c>
    </row>
    <row r="116" spans="1:5" x14ac:dyDescent="0.3">
      <c r="A116" s="21" t="s">
        <v>114</v>
      </c>
      <c r="B116" s="9">
        <v>287</v>
      </c>
      <c r="C116" s="11">
        <v>764.77605090000009</v>
      </c>
      <c r="D116" s="9">
        <v>51</v>
      </c>
      <c r="E116" s="22">
        <v>1164.3496453</v>
      </c>
    </row>
    <row r="117" spans="1:5" x14ac:dyDescent="0.3">
      <c r="A117" s="21" t="s">
        <v>115</v>
      </c>
      <c r="B117" s="9">
        <v>73568</v>
      </c>
      <c r="C117" s="11">
        <v>38808.341483099997</v>
      </c>
      <c r="D117" s="9">
        <v>104348</v>
      </c>
      <c r="E117" s="22">
        <v>75359.648794699999</v>
      </c>
    </row>
    <row r="118" spans="1:5" x14ac:dyDescent="0.3">
      <c r="A118" s="21" t="s">
        <v>116</v>
      </c>
      <c r="B118" s="9">
        <v>53166</v>
      </c>
      <c r="C118" s="11">
        <v>119405.5569783</v>
      </c>
      <c r="D118" s="9">
        <v>11992</v>
      </c>
      <c r="E118" s="22">
        <v>429483.40361660003</v>
      </c>
    </row>
    <row r="119" spans="1:5" x14ac:dyDescent="0.3">
      <c r="A119" s="21" t="s">
        <v>117</v>
      </c>
      <c r="B119" s="9">
        <v>3979</v>
      </c>
      <c r="C119" s="11">
        <v>2666.6756543000001</v>
      </c>
      <c r="D119" s="9">
        <v>12179</v>
      </c>
      <c r="E119" s="22">
        <v>5779.677635</v>
      </c>
    </row>
    <row r="120" spans="1:5" x14ac:dyDescent="0.3">
      <c r="A120" s="21" t="s">
        <v>118</v>
      </c>
      <c r="B120" s="9">
        <v>22265</v>
      </c>
      <c r="C120" s="11">
        <v>8960.5902860000006</v>
      </c>
      <c r="D120" s="9">
        <v>43088</v>
      </c>
      <c r="E120" s="22">
        <v>19407.550984599999</v>
      </c>
    </row>
    <row r="121" spans="1:5" x14ac:dyDescent="0.3">
      <c r="A121" s="21" t="s">
        <v>119</v>
      </c>
      <c r="B121" s="9">
        <v>4497</v>
      </c>
      <c r="C121" s="11">
        <v>2025.0356274999999</v>
      </c>
      <c r="D121" s="9">
        <v>7112</v>
      </c>
      <c r="E121" s="22">
        <v>1950.3922243000002</v>
      </c>
    </row>
    <row r="122" spans="1:5" x14ac:dyDescent="0.3">
      <c r="A122" s="21" t="s">
        <v>120</v>
      </c>
      <c r="B122" s="9">
        <v>13425</v>
      </c>
      <c r="C122" s="11">
        <v>12332.090425099999</v>
      </c>
      <c r="D122" s="9">
        <v>387</v>
      </c>
      <c r="E122" s="22">
        <v>134691.0637308</v>
      </c>
    </row>
    <row r="123" spans="1:5" x14ac:dyDescent="0.3">
      <c r="A123" s="21" t="s">
        <v>121</v>
      </c>
      <c r="B123" s="9">
        <v>8649</v>
      </c>
      <c r="C123" s="11">
        <v>5495.6011084000002</v>
      </c>
      <c r="D123" s="9">
        <v>9424</v>
      </c>
      <c r="E123" s="22">
        <v>5605.6389153999999</v>
      </c>
    </row>
    <row r="124" spans="1:5" x14ac:dyDescent="0.3">
      <c r="A124" s="21" t="s">
        <v>122</v>
      </c>
      <c r="B124" s="9">
        <v>14552</v>
      </c>
      <c r="C124" s="11">
        <v>7490.9621470000002</v>
      </c>
      <c r="D124" s="9">
        <v>25271</v>
      </c>
      <c r="E124" s="22">
        <v>14620.4749247</v>
      </c>
    </row>
    <row r="125" spans="1:5" x14ac:dyDescent="0.3">
      <c r="A125" s="21" t="s">
        <v>123</v>
      </c>
      <c r="B125" s="9">
        <v>59713</v>
      </c>
      <c r="C125" s="11">
        <v>33799.144215699998</v>
      </c>
      <c r="D125" s="9">
        <v>93032</v>
      </c>
      <c r="E125" s="22">
        <v>48420.725381600001</v>
      </c>
    </row>
    <row r="126" spans="1:5" x14ac:dyDescent="0.3">
      <c r="A126" s="21" t="s">
        <v>124</v>
      </c>
      <c r="B126" s="9">
        <v>416</v>
      </c>
      <c r="C126" s="11">
        <v>56020.7572679</v>
      </c>
      <c r="D126" s="9">
        <v>51</v>
      </c>
      <c r="E126" s="22">
        <v>55589.110340400002</v>
      </c>
    </row>
    <row r="127" spans="1:5" x14ac:dyDescent="0.3">
      <c r="A127" s="21" t="s">
        <v>125</v>
      </c>
      <c r="B127" s="9">
        <v>5363</v>
      </c>
      <c r="C127" s="11">
        <v>2790.0444307999996</v>
      </c>
      <c r="D127" s="9">
        <v>5701</v>
      </c>
      <c r="E127" s="22">
        <v>3088.8775610000002</v>
      </c>
    </row>
    <row r="128" spans="1:5" x14ac:dyDescent="0.3">
      <c r="A128" s="21" t="s">
        <v>126</v>
      </c>
      <c r="B128" s="9">
        <v>23313</v>
      </c>
      <c r="C128" s="11">
        <v>8782.2651745000003</v>
      </c>
      <c r="D128" s="9">
        <v>45551</v>
      </c>
      <c r="E128" s="22">
        <v>15474.3037298</v>
      </c>
    </row>
    <row r="129" spans="1:5" x14ac:dyDescent="0.3">
      <c r="A129" s="21" t="s">
        <v>127</v>
      </c>
      <c r="B129" s="9">
        <v>1711</v>
      </c>
      <c r="C129" s="11">
        <v>901.19701989999999</v>
      </c>
      <c r="D129" s="9">
        <v>3614</v>
      </c>
      <c r="E129" s="22">
        <v>1595.6024505</v>
      </c>
    </row>
    <row r="130" spans="1:5" x14ac:dyDescent="0.3">
      <c r="A130" s="21" t="s">
        <v>128</v>
      </c>
      <c r="B130" s="9">
        <v>95550</v>
      </c>
      <c r="C130" s="11">
        <v>39534.696223799998</v>
      </c>
      <c r="D130" s="9">
        <v>138645</v>
      </c>
      <c r="E130" s="22">
        <v>48143.4588009</v>
      </c>
    </row>
    <row r="131" spans="1:5" x14ac:dyDescent="0.3">
      <c r="A131" s="21" t="s">
        <v>129</v>
      </c>
      <c r="B131" s="9">
        <v>18259</v>
      </c>
      <c r="C131" s="11">
        <v>6486.3636614999996</v>
      </c>
      <c r="D131" s="9">
        <v>11041</v>
      </c>
      <c r="E131" s="22">
        <v>2911.9128876</v>
      </c>
    </row>
    <row r="132" spans="1:5" x14ac:dyDescent="0.3">
      <c r="A132" s="21" t="s">
        <v>130</v>
      </c>
      <c r="B132" s="9">
        <v>51234</v>
      </c>
      <c r="C132" s="11">
        <v>9588.8715272999998</v>
      </c>
      <c r="D132" s="9">
        <v>12536</v>
      </c>
      <c r="E132" s="22">
        <v>19287.090889200001</v>
      </c>
    </row>
    <row r="133" spans="1:5" x14ac:dyDescent="0.3">
      <c r="A133" s="21" t="s">
        <v>131</v>
      </c>
      <c r="B133" s="9">
        <v>34500</v>
      </c>
      <c r="C133" s="11">
        <v>16938.942023900003</v>
      </c>
      <c r="D133" s="9">
        <v>51915</v>
      </c>
      <c r="E133" s="22">
        <v>36735.896983400002</v>
      </c>
    </row>
    <row r="134" spans="1:5" x14ac:dyDescent="0.3">
      <c r="A134" s="21" t="s">
        <v>132</v>
      </c>
      <c r="B134" s="9">
        <v>15461</v>
      </c>
      <c r="C134" s="11">
        <v>6545.1447773999998</v>
      </c>
      <c r="D134" s="9">
        <v>8002</v>
      </c>
      <c r="E134" s="22">
        <v>8677.1415916000005</v>
      </c>
    </row>
    <row r="135" spans="1:5" x14ac:dyDescent="0.3">
      <c r="A135" s="21" t="s">
        <v>133</v>
      </c>
      <c r="B135" s="9">
        <v>32460</v>
      </c>
      <c r="C135" s="11">
        <v>15587.870159600001</v>
      </c>
      <c r="D135" s="9">
        <v>34937</v>
      </c>
      <c r="E135" s="22">
        <v>16468.746655499999</v>
      </c>
    </row>
    <row r="136" spans="1:5" x14ac:dyDescent="0.3">
      <c r="A136" s="21" t="s">
        <v>134</v>
      </c>
      <c r="B136" s="9">
        <v>366983</v>
      </c>
      <c r="C136" s="11">
        <v>202576.24071130002</v>
      </c>
      <c r="D136" s="9">
        <v>1195054</v>
      </c>
      <c r="E136" s="22">
        <v>457102.04558239999</v>
      </c>
    </row>
    <row r="137" spans="1:5" x14ac:dyDescent="0.3">
      <c r="A137" s="21" t="s">
        <v>135</v>
      </c>
      <c r="B137" s="9">
        <v>7193973</v>
      </c>
      <c r="C137" s="11">
        <v>4857111.2619388998</v>
      </c>
      <c r="D137" s="9">
        <v>20910822</v>
      </c>
      <c r="E137" s="22">
        <v>7906552.0466031004</v>
      </c>
    </row>
    <row r="138" spans="1:5" x14ac:dyDescent="0.3">
      <c r="A138" s="21" t="s">
        <v>136</v>
      </c>
      <c r="B138" s="9">
        <v>1322</v>
      </c>
      <c r="C138" s="11">
        <v>21997.8681913</v>
      </c>
      <c r="D138" s="9">
        <v>1982</v>
      </c>
      <c r="E138" s="22">
        <v>12291.8985245</v>
      </c>
    </row>
    <row r="139" spans="1:5" x14ac:dyDescent="0.3">
      <c r="A139" s="21" t="s">
        <v>137</v>
      </c>
      <c r="B139" s="9">
        <v>5068</v>
      </c>
      <c r="C139" s="11">
        <v>3267.9971647000002</v>
      </c>
      <c r="D139" s="9">
        <v>2555</v>
      </c>
      <c r="E139" s="22">
        <v>2313.8628356999998</v>
      </c>
    </row>
    <row r="140" spans="1:5" x14ac:dyDescent="0.3">
      <c r="A140" s="21" t="s">
        <v>138</v>
      </c>
      <c r="B140" s="9">
        <v>8139374</v>
      </c>
      <c r="C140" s="11">
        <v>740588.62411420001</v>
      </c>
      <c r="D140" s="9">
        <v>1954167</v>
      </c>
      <c r="E140" s="22">
        <v>1547774.8218114001</v>
      </c>
    </row>
    <row r="141" spans="1:5" x14ac:dyDescent="0.3">
      <c r="A141" s="21" t="s">
        <v>139</v>
      </c>
      <c r="B141" s="9">
        <v>52</v>
      </c>
      <c r="C141" s="11">
        <v>3114.0998392000001</v>
      </c>
      <c r="D141" s="9">
        <v>45</v>
      </c>
      <c r="E141" s="22">
        <v>5056.3194411000004</v>
      </c>
    </row>
    <row r="142" spans="1:5" x14ac:dyDescent="0.3">
      <c r="A142" s="21" t="s">
        <v>140</v>
      </c>
      <c r="B142" s="9">
        <v>5113</v>
      </c>
      <c r="C142" s="11">
        <v>11673.0680278</v>
      </c>
      <c r="D142" s="9">
        <v>609</v>
      </c>
      <c r="E142" s="22">
        <v>12711.942657400001</v>
      </c>
    </row>
    <row r="143" spans="1:5" x14ac:dyDescent="0.3">
      <c r="A143" s="21" t="s">
        <v>141</v>
      </c>
      <c r="B143" s="9">
        <v>17411</v>
      </c>
      <c r="C143" s="11">
        <v>8738.6211305999987</v>
      </c>
      <c r="D143" s="9">
        <v>12230</v>
      </c>
      <c r="E143" s="22">
        <v>15992.151088299999</v>
      </c>
    </row>
    <row r="144" spans="1:5" x14ac:dyDescent="0.3">
      <c r="A144" s="21" t="s">
        <v>142</v>
      </c>
      <c r="B144" s="9">
        <v>2621</v>
      </c>
      <c r="C144" s="11">
        <v>2570.5595877000001</v>
      </c>
      <c r="D144" s="9">
        <v>4237</v>
      </c>
      <c r="E144" s="22">
        <v>1845.7795490999999</v>
      </c>
    </row>
    <row r="145" spans="1:5" x14ac:dyDescent="0.3">
      <c r="A145" s="21" t="s">
        <v>143</v>
      </c>
      <c r="B145" s="9">
        <v>79354</v>
      </c>
      <c r="C145" s="11">
        <v>78292.249188300004</v>
      </c>
      <c r="D145" s="9">
        <v>1481161</v>
      </c>
      <c r="E145" s="22">
        <v>50340.212328500005</v>
      </c>
    </row>
    <row r="146" spans="1:5" x14ac:dyDescent="0.3">
      <c r="A146" s="21" t="s">
        <v>144</v>
      </c>
      <c r="B146" s="9">
        <v>16313</v>
      </c>
      <c r="C146" s="11">
        <v>10026.974235700001</v>
      </c>
      <c r="D146" s="9">
        <v>35373</v>
      </c>
      <c r="E146" s="22">
        <v>7813.6883005</v>
      </c>
    </row>
    <row r="147" spans="1:5" x14ac:dyDescent="0.3">
      <c r="A147" s="21" t="s">
        <v>145</v>
      </c>
      <c r="B147" s="9">
        <v>22366</v>
      </c>
      <c r="C147" s="11">
        <v>13895.823999300001</v>
      </c>
      <c r="D147" s="9">
        <v>62724</v>
      </c>
      <c r="E147" s="22">
        <v>19779.841959000001</v>
      </c>
    </row>
    <row r="148" spans="1:5" x14ac:dyDescent="0.3">
      <c r="A148" s="21" t="s">
        <v>146</v>
      </c>
      <c r="B148" s="9">
        <v>14926</v>
      </c>
      <c r="C148" s="11">
        <v>3999.1619344999999</v>
      </c>
      <c r="D148" s="9">
        <v>1129</v>
      </c>
      <c r="E148" s="22">
        <v>737.9341584</v>
      </c>
    </row>
    <row r="149" spans="1:5" x14ac:dyDescent="0.3">
      <c r="A149" s="21" t="s">
        <v>147</v>
      </c>
      <c r="B149" s="9">
        <v>47205130</v>
      </c>
      <c r="C149" s="11">
        <v>28041950.884673901</v>
      </c>
      <c r="D149" s="9">
        <v>1270604</v>
      </c>
      <c r="E149" s="22">
        <v>3372773.0845946004</v>
      </c>
    </row>
    <row r="150" spans="1:5" x14ac:dyDescent="0.3">
      <c r="A150" s="21" t="s">
        <v>148</v>
      </c>
      <c r="B150" s="9">
        <v>4364696</v>
      </c>
      <c r="C150" s="11">
        <v>2167202.4434757</v>
      </c>
      <c r="D150" s="9">
        <v>1712554</v>
      </c>
      <c r="E150" s="22">
        <v>1301220.2994273</v>
      </c>
    </row>
    <row r="151" spans="1:5" x14ac:dyDescent="0.3">
      <c r="A151" s="21" t="s">
        <v>149</v>
      </c>
      <c r="B151" s="9">
        <v>6649</v>
      </c>
      <c r="C151" s="11">
        <v>3111.0550347000003</v>
      </c>
      <c r="D151" s="9">
        <v>10302</v>
      </c>
      <c r="E151" s="22">
        <v>4035.7680719</v>
      </c>
    </row>
    <row r="152" spans="1:5" x14ac:dyDescent="0.3">
      <c r="A152" s="21" t="s">
        <v>150</v>
      </c>
      <c r="B152" s="9">
        <v>7131</v>
      </c>
      <c r="C152" s="11">
        <v>2263.4167080000002</v>
      </c>
      <c r="D152" s="9">
        <v>5019</v>
      </c>
      <c r="E152" s="22">
        <v>2905.4996823000001</v>
      </c>
    </row>
    <row r="153" spans="1:5" x14ac:dyDescent="0.3">
      <c r="A153" s="21" t="s">
        <v>151</v>
      </c>
      <c r="B153" s="9">
        <v>7949</v>
      </c>
      <c r="C153" s="11">
        <v>7947.5122448000002</v>
      </c>
      <c r="D153" s="9">
        <v>11390</v>
      </c>
      <c r="E153" s="22">
        <v>3414.8168031</v>
      </c>
    </row>
    <row r="154" spans="1:5" x14ac:dyDescent="0.3">
      <c r="A154" s="21" t="s">
        <v>152</v>
      </c>
      <c r="B154" s="9">
        <v>515430</v>
      </c>
      <c r="C154" s="11">
        <v>329647.99291810003</v>
      </c>
      <c r="D154" s="9">
        <v>826671</v>
      </c>
      <c r="E154" s="22">
        <v>458501.10472339997</v>
      </c>
    </row>
    <row r="155" spans="1:5" x14ac:dyDescent="0.3">
      <c r="A155" s="21" t="s">
        <v>153</v>
      </c>
      <c r="B155" s="9">
        <v>3960</v>
      </c>
      <c r="C155" s="11">
        <v>6340.3737166000001</v>
      </c>
      <c r="D155" s="9">
        <v>6579</v>
      </c>
      <c r="E155" s="22">
        <v>2310.1006638999997</v>
      </c>
    </row>
    <row r="156" spans="1:5" x14ac:dyDescent="0.3">
      <c r="A156" s="21" t="s">
        <v>154</v>
      </c>
      <c r="B156" s="9">
        <v>226</v>
      </c>
      <c r="C156" s="11">
        <v>1121.8000762000001</v>
      </c>
      <c r="D156" s="9">
        <v>36</v>
      </c>
      <c r="E156" s="22">
        <v>129.250011</v>
      </c>
    </row>
    <row r="157" spans="1:5" x14ac:dyDescent="0.3">
      <c r="A157" s="21" t="s">
        <v>155</v>
      </c>
      <c r="B157" s="9">
        <v>14004</v>
      </c>
      <c r="C157" s="11">
        <v>20951.558784699999</v>
      </c>
      <c r="D157" s="9">
        <v>9540</v>
      </c>
      <c r="E157" s="22">
        <v>47230.472627799994</v>
      </c>
    </row>
    <row r="158" spans="1:5" x14ac:dyDescent="0.3">
      <c r="A158" s="21" t="s">
        <v>156</v>
      </c>
      <c r="B158" s="9">
        <v>3269</v>
      </c>
      <c r="C158" s="11">
        <v>1485.0535531999999</v>
      </c>
      <c r="D158" s="9">
        <v>17220</v>
      </c>
      <c r="E158" s="22">
        <v>4150.5496792000004</v>
      </c>
    </row>
    <row r="159" spans="1:5" x14ac:dyDescent="0.3">
      <c r="A159" s="21" t="s">
        <v>157</v>
      </c>
      <c r="B159" s="9">
        <v>254509</v>
      </c>
      <c r="C159" s="11">
        <v>177769.44942919997</v>
      </c>
      <c r="D159" s="9">
        <v>413080</v>
      </c>
      <c r="E159" s="22">
        <v>222934.8823152</v>
      </c>
    </row>
    <row r="160" spans="1:5" x14ac:dyDescent="0.3">
      <c r="A160" s="21" t="s">
        <v>158</v>
      </c>
      <c r="B160" s="9">
        <v>5135</v>
      </c>
      <c r="C160" s="11">
        <v>2282.2105860000001</v>
      </c>
      <c r="D160" s="9">
        <v>7849</v>
      </c>
      <c r="E160" s="22">
        <v>5396.4423416</v>
      </c>
    </row>
    <row r="161" spans="1:5" x14ac:dyDescent="0.3">
      <c r="A161" s="21" t="s">
        <v>159</v>
      </c>
      <c r="B161" s="9">
        <v>29774</v>
      </c>
      <c r="C161" s="11">
        <v>147628.8321808</v>
      </c>
      <c r="D161" s="9">
        <v>19824</v>
      </c>
      <c r="E161" s="22">
        <v>169569.10682350001</v>
      </c>
    </row>
    <row r="162" spans="1:5" x14ac:dyDescent="0.3">
      <c r="A162" s="21" t="s">
        <v>160</v>
      </c>
      <c r="B162" s="9">
        <v>19216</v>
      </c>
      <c r="C162" s="11">
        <v>14452.546756</v>
      </c>
      <c r="D162" s="9">
        <v>17666</v>
      </c>
      <c r="E162" s="22">
        <v>9814.542132999999</v>
      </c>
    </row>
    <row r="163" spans="1:5" x14ac:dyDescent="0.3">
      <c r="A163" s="21" t="s">
        <v>161</v>
      </c>
      <c r="B163" s="9">
        <v>20227</v>
      </c>
      <c r="C163" s="11">
        <v>14331.703537899999</v>
      </c>
      <c r="D163" s="9">
        <v>21487</v>
      </c>
      <c r="E163" s="22">
        <v>8360.8480378999993</v>
      </c>
    </row>
    <row r="164" spans="1:5" x14ac:dyDescent="0.3">
      <c r="A164" s="21" t="s">
        <v>162</v>
      </c>
      <c r="B164" s="9">
        <v>1651</v>
      </c>
      <c r="C164" s="11">
        <v>4047.6991295999997</v>
      </c>
      <c r="D164" s="9">
        <v>3353</v>
      </c>
      <c r="E164" s="22">
        <v>2547.9300020000001</v>
      </c>
    </row>
    <row r="165" spans="1:5" x14ac:dyDescent="0.3">
      <c r="A165" s="21" t="s">
        <v>163</v>
      </c>
      <c r="B165" s="9">
        <v>7393</v>
      </c>
      <c r="C165" s="11">
        <v>112162.2371785</v>
      </c>
      <c r="D165" s="9">
        <v>630</v>
      </c>
      <c r="E165" s="22">
        <v>21214.0876866</v>
      </c>
    </row>
    <row r="166" spans="1:5" x14ac:dyDescent="0.3">
      <c r="A166" s="21" t="s">
        <v>164</v>
      </c>
      <c r="B166" s="9">
        <v>12267</v>
      </c>
      <c r="C166" s="11">
        <v>17605.1554201</v>
      </c>
      <c r="D166" s="9">
        <v>16387</v>
      </c>
      <c r="E166" s="22">
        <v>9495.4137016000004</v>
      </c>
    </row>
    <row r="167" spans="1:5" x14ac:dyDescent="0.3">
      <c r="A167" s="21" t="s">
        <v>165</v>
      </c>
      <c r="B167" s="9">
        <v>1009745</v>
      </c>
      <c r="C167" s="11">
        <v>763468.4376349001</v>
      </c>
      <c r="D167" s="9">
        <v>1457412</v>
      </c>
      <c r="E167" s="22">
        <v>717835.48412419995</v>
      </c>
    </row>
    <row r="168" spans="1:5" x14ac:dyDescent="0.3">
      <c r="A168" s="21" t="s">
        <v>166</v>
      </c>
      <c r="B168" s="9">
        <v>1477</v>
      </c>
      <c r="C168" s="11">
        <v>2909.9127600000002</v>
      </c>
      <c r="D168" s="9">
        <v>2625</v>
      </c>
      <c r="E168" s="22">
        <v>846.89300270000001</v>
      </c>
    </row>
    <row r="169" spans="1:5" x14ac:dyDescent="0.3">
      <c r="A169" s="21" t="s">
        <v>167</v>
      </c>
      <c r="B169" s="9">
        <v>6486634</v>
      </c>
      <c r="C169" s="11">
        <v>5003534.4305856004</v>
      </c>
      <c r="D169" s="9">
        <v>1656982</v>
      </c>
      <c r="E169" s="22">
        <v>5324229.9627219001</v>
      </c>
    </row>
    <row r="170" spans="1:5" x14ac:dyDescent="0.3">
      <c r="A170" s="21" t="s">
        <v>168</v>
      </c>
      <c r="B170" s="9">
        <v>24423808</v>
      </c>
      <c r="C170" s="11">
        <v>26407623.311142299</v>
      </c>
      <c r="D170" s="9">
        <v>78617798</v>
      </c>
      <c r="E170" s="22">
        <v>34989755.0161874</v>
      </c>
    </row>
    <row r="171" spans="1:5" x14ac:dyDescent="0.3">
      <c r="A171" s="21" t="s">
        <v>169</v>
      </c>
      <c r="B171" s="9">
        <v>5669</v>
      </c>
      <c r="C171" s="11">
        <v>4276.9939749000005</v>
      </c>
      <c r="D171" s="9">
        <v>1911</v>
      </c>
      <c r="E171" s="22">
        <v>1941.3483245</v>
      </c>
    </row>
    <row r="172" spans="1:5" x14ac:dyDescent="0.3">
      <c r="A172" s="21" t="s">
        <v>170</v>
      </c>
      <c r="B172" s="9">
        <v>28204</v>
      </c>
      <c r="C172" s="11">
        <v>114935.68520149999</v>
      </c>
      <c r="D172" s="9">
        <v>5900</v>
      </c>
      <c r="E172" s="22">
        <v>319403.5261814</v>
      </c>
    </row>
    <row r="173" spans="1:5" x14ac:dyDescent="0.3">
      <c r="A173" s="21" t="s">
        <v>171</v>
      </c>
      <c r="B173" s="9">
        <v>25594</v>
      </c>
      <c r="C173" s="11">
        <v>19220.153181400001</v>
      </c>
      <c r="D173" s="9">
        <v>73515</v>
      </c>
      <c r="E173" s="22">
        <v>18646.214305000001</v>
      </c>
    </row>
    <row r="174" spans="1:5" x14ac:dyDescent="0.3">
      <c r="A174" s="21" t="s">
        <v>172</v>
      </c>
      <c r="B174" s="9">
        <v>19991</v>
      </c>
      <c r="C174" s="11">
        <v>15939.116896</v>
      </c>
      <c r="D174" s="9">
        <v>22223</v>
      </c>
      <c r="E174" s="22">
        <v>10446.0899412</v>
      </c>
    </row>
    <row r="175" spans="1:5" x14ac:dyDescent="0.3">
      <c r="A175" s="21" t="s">
        <v>173</v>
      </c>
      <c r="B175" s="9">
        <v>52390</v>
      </c>
      <c r="C175" s="11">
        <v>41209.490633499998</v>
      </c>
      <c r="D175" s="9">
        <v>72608</v>
      </c>
      <c r="E175" s="22">
        <v>38577.182139500001</v>
      </c>
    </row>
    <row r="176" spans="1:5" x14ac:dyDescent="0.3">
      <c r="A176" s="21" t="s">
        <v>174</v>
      </c>
      <c r="B176" s="9">
        <v>21533</v>
      </c>
      <c r="C176" s="11">
        <v>25769.193454699998</v>
      </c>
      <c r="D176" s="9">
        <v>18984</v>
      </c>
      <c r="E176" s="22">
        <v>13753.1374748</v>
      </c>
    </row>
    <row r="177" spans="1:5" x14ac:dyDescent="0.3">
      <c r="A177" s="21" t="s">
        <v>175</v>
      </c>
      <c r="B177" s="9">
        <v>34646</v>
      </c>
      <c r="C177" s="11">
        <v>13554.6871397</v>
      </c>
      <c r="D177" s="9">
        <v>34875</v>
      </c>
      <c r="E177" s="22">
        <v>18647.603841300002</v>
      </c>
    </row>
    <row r="178" spans="1:5" x14ac:dyDescent="0.3">
      <c r="A178" s="21" t="s">
        <v>176</v>
      </c>
      <c r="B178" s="9">
        <v>4943</v>
      </c>
      <c r="C178" s="11">
        <v>5338.6163999999999</v>
      </c>
      <c r="D178" s="9">
        <v>7274</v>
      </c>
      <c r="E178" s="22">
        <v>5141.5840202999998</v>
      </c>
    </row>
    <row r="179" spans="1:5" x14ac:dyDescent="0.3">
      <c r="A179" s="21" t="s">
        <v>177</v>
      </c>
      <c r="B179" s="9">
        <v>10099</v>
      </c>
      <c r="C179" s="11">
        <v>5202.0672789</v>
      </c>
      <c r="D179" s="9">
        <v>15496</v>
      </c>
      <c r="E179" s="22">
        <v>2775.1146417</v>
      </c>
    </row>
    <row r="180" spans="1:5" x14ac:dyDescent="0.3">
      <c r="A180" s="21" t="s">
        <v>178</v>
      </c>
      <c r="B180" s="9">
        <v>142961</v>
      </c>
      <c r="C180" s="11">
        <v>37270.258163099999</v>
      </c>
      <c r="D180" s="9">
        <v>177057</v>
      </c>
      <c r="E180" s="22">
        <v>123976.47448249999</v>
      </c>
    </row>
    <row r="181" spans="1:5" x14ac:dyDescent="0.3">
      <c r="A181" s="21" t="s">
        <v>179</v>
      </c>
      <c r="B181" s="9">
        <v>632836</v>
      </c>
      <c r="C181" s="11">
        <v>486165.11458719999</v>
      </c>
      <c r="D181" s="9">
        <v>1050672</v>
      </c>
      <c r="E181" s="22">
        <v>535123.04326279997</v>
      </c>
    </row>
    <row r="182" spans="1:5" x14ac:dyDescent="0.3">
      <c r="A182" s="21" t="s">
        <v>180</v>
      </c>
      <c r="B182" s="9">
        <v>26795</v>
      </c>
      <c r="C182" s="11">
        <v>17984.305162000001</v>
      </c>
      <c r="D182" s="9">
        <v>70061</v>
      </c>
      <c r="E182" s="22">
        <v>22294.559665300003</v>
      </c>
    </row>
    <row r="183" spans="1:5" x14ac:dyDescent="0.3">
      <c r="A183" s="21" t="s">
        <v>181</v>
      </c>
      <c r="B183" s="9">
        <v>3865</v>
      </c>
      <c r="C183" s="11">
        <v>1570.3500351</v>
      </c>
      <c r="D183" s="9">
        <v>3555</v>
      </c>
      <c r="E183" s="22">
        <v>3834.6314360000001</v>
      </c>
    </row>
    <row r="184" spans="1:5" x14ac:dyDescent="0.3">
      <c r="A184" s="21" t="s">
        <v>182</v>
      </c>
      <c r="B184" s="9">
        <v>18202</v>
      </c>
      <c r="C184" s="11">
        <v>12388.8410129</v>
      </c>
      <c r="D184" s="9">
        <v>37112</v>
      </c>
      <c r="E184" s="22">
        <v>15654.5024421</v>
      </c>
    </row>
    <row r="185" spans="1:5" x14ac:dyDescent="0.3">
      <c r="A185" s="21" t="s">
        <v>183</v>
      </c>
      <c r="B185" s="9">
        <v>18881</v>
      </c>
      <c r="C185" s="11">
        <v>22152.000762399999</v>
      </c>
      <c r="D185" s="9">
        <v>119090</v>
      </c>
      <c r="E185" s="22">
        <v>25904.011659</v>
      </c>
    </row>
    <row r="186" spans="1:5" x14ac:dyDescent="0.3">
      <c r="A186" s="21" t="s">
        <v>184</v>
      </c>
      <c r="B186" s="9">
        <v>131664</v>
      </c>
      <c r="C186" s="11">
        <v>68168.69428560001</v>
      </c>
      <c r="D186" s="9">
        <v>298034</v>
      </c>
      <c r="E186" s="22">
        <v>134635.48271499999</v>
      </c>
    </row>
    <row r="187" spans="1:5" x14ac:dyDescent="0.3">
      <c r="A187" s="21" t="s">
        <v>185</v>
      </c>
      <c r="B187" s="9">
        <v>24239</v>
      </c>
      <c r="C187" s="11">
        <v>19184.720158599997</v>
      </c>
      <c r="D187" s="9">
        <v>42511</v>
      </c>
      <c r="E187" s="22">
        <v>28323.828128600002</v>
      </c>
    </row>
    <row r="188" spans="1:5" x14ac:dyDescent="0.3">
      <c r="A188" s="21" t="s">
        <v>186</v>
      </c>
      <c r="B188" s="9">
        <v>2498</v>
      </c>
      <c r="C188" s="11">
        <v>4523.7226276000001</v>
      </c>
      <c r="D188" s="9">
        <v>785</v>
      </c>
      <c r="E188" s="22">
        <v>500.57369340000002</v>
      </c>
    </row>
    <row r="189" spans="1:5" x14ac:dyDescent="0.3">
      <c r="A189" s="21" t="s">
        <v>187</v>
      </c>
      <c r="B189" s="9">
        <v>35681</v>
      </c>
      <c r="C189" s="11">
        <v>59446.123115800001</v>
      </c>
      <c r="D189" s="9">
        <v>40714</v>
      </c>
      <c r="E189" s="22">
        <v>16878.336424100002</v>
      </c>
    </row>
    <row r="190" spans="1:5" x14ac:dyDescent="0.3">
      <c r="A190" s="21" t="s">
        <v>188</v>
      </c>
      <c r="B190" s="9">
        <v>7163</v>
      </c>
      <c r="C190" s="11">
        <v>26903.221258600002</v>
      </c>
      <c r="D190" s="9">
        <v>17254</v>
      </c>
      <c r="E190" s="22">
        <v>10598.6010938</v>
      </c>
    </row>
    <row r="191" spans="1:5" x14ac:dyDescent="0.3">
      <c r="A191" s="21" t="s">
        <v>189</v>
      </c>
      <c r="B191" s="9">
        <v>170352</v>
      </c>
      <c r="C191" s="11">
        <v>121422.0197931</v>
      </c>
      <c r="D191" s="9">
        <v>282489</v>
      </c>
      <c r="E191" s="22">
        <v>143103.95574870001</v>
      </c>
    </row>
    <row r="192" spans="1:5" x14ac:dyDescent="0.3">
      <c r="A192" s="21" t="s">
        <v>190</v>
      </c>
      <c r="B192" s="9">
        <v>1416</v>
      </c>
      <c r="C192" s="11">
        <v>20330.9486306</v>
      </c>
      <c r="D192" s="9">
        <v>2199</v>
      </c>
      <c r="E192" s="22">
        <v>2558.0873869000002</v>
      </c>
    </row>
    <row r="193" spans="1:5" x14ac:dyDescent="0.3">
      <c r="A193" s="21" t="s">
        <v>191</v>
      </c>
      <c r="B193" s="9">
        <v>5697</v>
      </c>
      <c r="C193" s="11">
        <v>3343.3425068000001</v>
      </c>
      <c r="D193" s="9">
        <v>9054</v>
      </c>
      <c r="E193" s="22">
        <v>5540.3175037999999</v>
      </c>
    </row>
    <row r="194" spans="1:5" x14ac:dyDescent="0.3">
      <c r="A194" s="21" t="s">
        <v>192</v>
      </c>
      <c r="B194" s="9">
        <v>55113</v>
      </c>
      <c r="C194" s="11">
        <v>15155.793463800001</v>
      </c>
      <c r="D194" s="9">
        <v>63281</v>
      </c>
      <c r="E194" s="22">
        <v>27520.053316500002</v>
      </c>
    </row>
    <row r="195" spans="1:5" x14ac:dyDescent="0.3">
      <c r="A195" s="21" t="s">
        <v>193</v>
      </c>
      <c r="B195" s="9">
        <v>3713</v>
      </c>
      <c r="C195" s="11">
        <v>2704.6748625999999</v>
      </c>
      <c r="D195" s="9">
        <v>15311</v>
      </c>
      <c r="E195" s="22">
        <v>4571.6440705000005</v>
      </c>
    </row>
    <row r="196" spans="1:5" x14ac:dyDescent="0.3">
      <c r="A196" s="21" t="s">
        <v>194</v>
      </c>
      <c r="B196" s="9">
        <v>1801</v>
      </c>
      <c r="C196" s="11">
        <v>581.39906329999997</v>
      </c>
      <c r="D196" s="9">
        <v>5207</v>
      </c>
      <c r="E196" s="22">
        <v>113327.3619899</v>
      </c>
    </row>
    <row r="197" spans="1:5" x14ac:dyDescent="0.3">
      <c r="A197" s="21" t="s">
        <v>195</v>
      </c>
      <c r="B197" s="9">
        <v>6419</v>
      </c>
      <c r="C197" s="11">
        <v>7660.5758838000002</v>
      </c>
      <c r="D197" s="9">
        <v>5660</v>
      </c>
      <c r="E197" s="22">
        <v>4952.7242333999993</v>
      </c>
    </row>
    <row r="198" spans="1:5" x14ac:dyDescent="0.3">
      <c r="A198" s="21" t="s">
        <v>196</v>
      </c>
      <c r="B198" s="9">
        <v>14983</v>
      </c>
      <c r="C198" s="11">
        <v>7876.0893055999995</v>
      </c>
      <c r="D198" s="9">
        <v>25551</v>
      </c>
      <c r="E198" s="22">
        <v>10552.760755900001</v>
      </c>
    </row>
    <row r="199" spans="1:5" x14ac:dyDescent="0.3">
      <c r="A199" s="21" t="s">
        <v>197</v>
      </c>
      <c r="B199" s="9">
        <v>10204</v>
      </c>
      <c r="C199" s="11">
        <v>8877.8057890999989</v>
      </c>
      <c r="D199" s="9">
        <v>16204</v>
      </c>
      <c r="E199" s="22">
        <v>8925.2602821</v>
      </c>
    </row>
    <row r="200" spans="1:5" x14ac:dyDescent="0.3">
      <c r="A200" s="21" t="s">
        <v>198</v>
      </c>
      <c r="B200" s="9">
        <v>16205</v>
      </c>
      <c r="C200" s="11">
        <v>16009.989615099999</v>
      </c>
      <c r="D200" s="9">
        <v>5584</v>
      </c>
      <c r="E200" s="22">
        <v>7068.5356239000002</v>
      </c>
    </row>
    <row r="201" spans="1:5" x14ac:dyDescent="0.3">
      <c r="A201" s="21" t="s">
        <v>199</v>
      </c>
      <c r="B201" s="9">
        <v>4701</v>
      </c>
      <c r="C201" s="11">
        <v>3622.7734816000002</v>
      </c>
      <c r="D201" s="9">
        <v>4696</v>
      </c>
      <c r="E201" s="22">
        <v>3546.2875577</v>
      </c>
    </row>
    <row r="202" spans="1:5" x14ac:dyDescent="0.3">
      <c r="A202" s="21" t="s">
        <v>200</v>
      </c>
      <c r="B202" s="9">
        <v>63475</v>
      </c>
      <c r="C202" s="11">
        <v>15080.7634641</v>
      </c>
      <c r="D202" s="9">
        <v>386501</v>
      </c>
      <c r="E202" s="22">
        <v>33836.206908799999</v>
      </c>
    </row>
    <row r="203" spans="1:5" x14ac:dyDescent="0.3">
      <c r="A203" s="21" t="s">
        <v>201</v>
      </c>
      <c r="B203" s="9">
        <v>2577</v>
      </c>
      <c r="C203" s="11">
        <v>2079.3309633000003</v>
      </c>
      <c r="D203" s="9">
        <v>8747</v>
      </c>
      <c r="E203" s="22">
        <v>3224.9727355999999</v>
      </c>
    </row>
    <row r="204" spans="1:5" x14ac:dyDescent="0.3">
      <c r="A204" s="21" t="s">
        <v>202</v>
      </c>
      <c r="B204" s="9">
        <v>5344</v>
      </c>
      <c r="C204" s="11">
        <v>3087.6167724000002</v>
      </c>
      <c r="D204" s="9">
        <v>3891</v>
      </c>
      <c r="E204" s="22">
        <v>1557.4854075999999</v>
      </c>
    </row>
    <row r="205" spans="1:5" x14ac:dyDescent="0.3">
      <c r="A205" s="21" t="s">
        <v>203</v>
      </c>
      <c r="B205" s="9">
        <v>2094</v>
      </c>
      <c r="C205" s="11">
        <v>3867.3545264999998</v>
      </c>
      <c r="D205" s="9">
        <v>1584</v>
      </c>
      <c r="E205" s="22">
        <v>780.58748019999996</v>
      </c>
    </row>
    <row r="206" spans="1:5" x14ac:dyDescent="0.3">
      <c r="A206" s="21" t="s">
        <v>204</v>
      </c>
      <c r="B206" s="9">
        <v>35854</v>
      </c>
      <c r="C206" s="11">
        <v>30655.557899899999</v>
      </c>
      <c r="D206" s="9">
        <v>107393</v>
      </c>
      <c r="E206" s="22">
        <v>27212.636486599997</v>
      </c>
    </row>
    <row r="207" spans="1:5" x14ac:dyDescent="0.3">
      <c r="A207" s="21" t="s">
        <v>205</v>
      </c>
      <c r="B207" s="9">
        <v>6498</v>
      </c>
      <c r="C207" s="11">
        <v>3592.867866</v>
      </c>
      <c r="D207" s="9">
        <v>5734</v>
      </c>
      <c r="E207" s="22">
        <v>3528.710861</v>
      </c>
    </row>
    <row r="208" spans="1:5" x14ac:dyDescent="0.3">
      <c r="A208" s="21" t="s">
        <v>206</v>
      </c>
      <c r="B208" s="9">
        <v>10591</v>
      </c>
      <c r="C208" s="11">
        <v>6595.0385913999999</v>
      </c>
      <c r="D208" s="9">
        <v>26579</v>
      </c>
      <c r="E208" s="22">
        <v>14660.406993699999</v>
      </c>
    </row>
    <row r="209" spans="1:5" x14ac:dyDescent="0.3">
      <c r="A209" s="21" t="s">
        <v>207</v>
      </c>
      <c r="B209" s="9">
        <v>7254</v>
      </c>
      <c r="C209" s="11">
        <v>2265.2806883000003</v>
      </c>
      <c r="D209" s="9">
        <v>10955</v>
      </c>
      <c r="E209" s="22">
        <v>6195.5633808000002</v>
      </c>
    </row>
    <row r="210" spans="1:5" x14ac:dyDescent="0.3">
      <c r="A210" s="21" t="s">
        <v>208</v>
      </c>
      <c r="B210" s="9">
        <v>7935</v>
      </c>
      <c r="C210" s="11">
        <v>6611.5297615999998</v>
      </c>
      <c r="D210" s="9">
        <v>5968</v>
      </c>
      <c r="E210" s="22">
        <v>3414.5564049</v>
      </c>
    </row>
    <row r="211" spans="1:5" x14ac:dyDescent="0.3">
      <c r="A211" s="21" t="s">
        <v>209</v>
      </c>
      <c r="B211" s="9">
        <v>6150</v>
      </c>
      <c r="C211" s="11">
        <v>3536.0791362</v>
      </c>
      <c r="D211" s="9">
        <v>40103</v>
      </c>
      <c r="E211" s="22">
        <v>8647.0890780999998</v>
      </c>
    </row>
    <row r="212" spans="1:5" x14ac:dyDescent="0.3">
      <c r="A212" s="21" t="s">
        <v>210</v>
      </c>
      <c r="B212" s="9">
        <v>1526</v>
      </c>
      <c r="C212" s="11">
        <v>977.91822069999989</v>
      </c>
      <c r="D212" s="9">
        <v>2852</v>
      </c>
      <c r="E212" s="22">
        <v>1047.6834372000001</v>
      </c>
    </row>
    <row r="213" spans="1:5" x14ac:dyDescent="0.3">
      <c r="A213" s="21" t="s">
        <v>211</v>
      </c>
      <c r="B213" s="9">
        <v>9098</v>
      </c>
      <c r="C213" s="11">
        <v>6751.1105437999995</v>
      </c>
      <c r="D213" s="9">
        <v>15999</v>
      </c>
      <c r="E213" s="22">
        <v>10122.920544799999</v>
      </c>
    </row>
    <row r="214" spans="1:5" x14ac:dyDescent="0.3">
      <c r="A214" s="21" t="s">
        <v>212</v>
      </c>
      <c r="B214" s="9">
        <v>821080</v>
      </c>
      <c r="C214" s="11">
        <v>455521.0500479</v>
      </c>
      <c r="D214" s="9">
        <v>4053134</v>
      </c>
      <c r="E214" s="22">
        <v>1041813.5297307001</v>
      </c>
    </row>
    <row r="215" spans="1:5" x14ac:dyDescent="0.3">
      <c r="A215" s="21" t="s">
        <v>213</v>
      </c>
      <c r="B215" s="9">
        <v>88647</v>
      </c>
      <c r="C215" s="11">
        <v>47019.973675600006</v>
      </c>
      <c r="D215" s="9">
        <v>252890</v>
      </c>
      <c r="E215" s="22">
        <v>118007.5995198</v>
      </c>
    </row>
    <row r="216" spans="1:5" x14ac:dyDescent="0.3">
      <c r="A216" s="21" t="s">
        <v>214</v>
      </c>
      <c r="B216" s="9">
        <v>5580975</v>
      </c>
      <c r="C216" s="11">
        <v>3498383.1148746996</v>
      </c>
      <c r="D216" s="9">
        <v>14871591</v>
      </c>
      <c r="E216" s="22">
        <v>6113115.4228210999</v>
      </c>
    </row>
    <row r="217" spans="1:5" x14ac:dyDescent="0.3">
      <c r="A217" s="21" t="s">
        <v>215</v>
      </c>
      <c r="B217" s="9">
        <v>70</v>
      </c>
      <c r="C217" s="11">
        <v>10443.5041088</v>
      </c>
      <c r="D217" s="9">
        <v>37</v>
      </c>
      <c r="E217" s="22">
        <v>23523.311323400001</v>
      </c>
    </row>
    <row r="218" spans="1:5" x14ac:dyDescent="0.3">
      <c r="A218" s="21" t="s">
        <v>216</v>
      </c>
      <c r="B218" s="9">
        <v>94197</v>
      </c>
      <c r="C218" s="11">
        <v>61538.530533000005</v>
      </c>
      <c r="D218" s="9">
        <v>39944</v>
      </c>
      <c r="E218" s="22">
        <v>20306.174032399998</v>
      </c>
    </row>
    <row r="219" spans="1:5" x14ac:dyDescent="0.3">
      <c r="A219" s="21" t="s">
        <v>217</v>
      </c>
      <c r="B219" s="9">
        <v>129518</v>
      </c>
      <c r="C219" s="11">
        <v>116145.7642374</v>
      </c>
      <c r="D219" s="9">
        <v>86548</v>
      </c>
      <c r="E219" s="22">
        <v>70713.725836800004</v>
      </c>
    </row>
    <row r="220" spans="1:5" x14ac:dyDescent="0.3">
      <c r="A220" s="21" t="s">
        <v>218</v>
      </c>
      <c r="B220" s="9">
        <v>5685</v>
      </c>
      <c r="C220" s="11">
        <v>3265.8463431999999</v>
      </c>
      <c r="D220" s="9">
        <v>26385</v>
      </c>
      <c r="E220" s="22">
        <v>8307.0368961000004</v>
      </c>
    </row>
    <row r="221" spans="1:5" x14ac:dyDescent="0.3">
      <c r="A221" s="21" t="s">
        <v>219</v>
      </c>
      <c r="B221" s="9">
        <v>7337</v>
      </c>
      <c r="C221" s="11">
        <v>3261.5306455999998</v>
      </c>
      <c r="D221" s="9">
        <v>13566</v>
      </c>
      <c r="E221" s="22">
        <v>4161.4437163000002</v>
      </c>
    </row>
    <row r="222" spans="1:5" x14ac:dyDescent="0.3">
      <c r="A222" s="21" t="s">
        <v>220</v>
      </c>
      <c r="B222" s="9">
        <v>55177</v>
      </c>
      <c r="C222" s="11">
        <v>19905.218027399998</v>
      </c>
      <c r="D222" s="9">
        <v>250187</v>
      </c>
      <c r="E222" s="22">
        <v>74872.575033900008</v>
      </c>
    </row>
    <row r="223" spans="1:5" x14ac:dyDescent="0.3">
      <c r="A223" s="21" t="s">
        <v>221</v>
      </c>
      <c r="B223" s="9">
        <v>10326</v>
      </c>
      <c r="C223" s="11">
        <v>24001.751504099997</v>
      </c>
      <c r="D223" s="9">
        <v>2696</v>
      </c>
      <c r="E223" s="22">
        <v>45443.155494799998</v>
      </c>
    </row>
    <row r="224" spans="1:5" x14ac:dyDescent="0.3">
      <c r="A224" s="21" t="s">
        <v>222</v>
      </c>
      <c r="B224" s="9">
        <v>42629208</v>
      </c>
      <c r="C224" s="11">
        <v>7565697.4719577003</v>
      </c>
      <c r="D224" s="9">
        <v>3350582</v>
      </c>
      <c r="E224" s="22">
        <v>4774623.8932432998</v>
      </c>
    </row>
    <row r="225" spans="1:5" x14ac:dyDescent="0.3">
      <c r="A225" s="21" t="s">
        <v>223</v>
      </c>
      <c r="B225" s="9">
        <v>3922</v>
      </c>
      <c r="C225" s="11">
        <v>2137.0855047</v>
      </c>
      <c r="D225" s="9">
        <v>15414</v>
      </c>
      <c r="E225" s="22">
        <v>7201.4096389999995</v>
      </c>
    </row>
    <row r="226" spans="1:5" x14ac:dyDescent="0.3">
      <c r="B226" s="13"/>
      <c r="C226" s="12"/>
      <c r="D226" s="13"/>
      <c r="E226" s="13"/>
    </row>
  </sheetData>
  <pageMargins left="3.937007874015748E-2" right="0.11811023622047245" top="0.11811023622047245" bottom="3.937007874015748E-2" header="3.937007874015748E-2" footer="0"/>
  <pageSetup scale="9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9"/>
  <sheetViews>
    <sheetView topLeftCell="A229" workbookViewId="0">
      <selection activeCell="A238" sqref="A238"/>
    </sheetView>
  </sheetViews>
  <sheetFormatPr defaultRowHeight="14.4" x14ac:dyDescent="0.3"/>
  <cols>
    <col min="1" max="1" width="49.88671875" style="1" customWidth="1"/>
    <col min="2" max="2" width="14.109375" customWidth="1"/>
    <col min="3" max="3" width="26.6640625" customWidth="1"/>
    <col min="4" max="4" width="15.5546875" customWidth="1"/>
    <col min="5" max="5" width="28.109375" customWidth="1"/>
  </cols>
  <sheetData>
    <row r="1" spans="1:7" ht="48" x14ac:dyDescent="0.3">
      <c r="A1" s="28" t="s">
        <v>833</v>
      </c>
      <c r="B1" s="6" t="s">
        <v>834</v>
      </c>
      <c r="C1" s="6" t="s">
        <v>837</v>
      </c>
      <c r="D1" s="8" t="s">
        <v>835</v>
      </c>
      <c r="E1" s="30" t="s">
        <v>836</v>
      </c>
      <c r="F1" s="7"/>
      <c r="G1" s="7"/>
    </row>
    <row r="2" spans="1:7" x14ac:dyDescent="0.3">
      <c r="A2" s="29" t="s">
        <v>226</v>
      </c>
      <c r="B2" s="17">
        <v>7388</v>
      </c>
      <c r="C2" s="16">
        <v>830.40153470600001</v>
      </c>
      <c r="D2" s="17">
        <v>12688</v>
      </c>
      <c r="E2" s="31">
        <v>1143.4143568540001</v>
      </c>
    </row>
    <row r="3" spans="1:7" x14ac:dyDescent="0.3">
      <c r="A3" s="29" t="s">
        <v>227</v>
      </c>
      <c r="B3" s="17">
        <v>2410</v>
      </c>
      <c r="C3" s="16">
        <v>468.94153354399998</v>
      </c>
      <c r="D3" s="17">
        <v>6290</v>
      </c>
      <c r="E3" s="31">
        <v>519.82171442499998</v>
      </c>
    </row>
    <row r="4" spans="1:7" x14ac:dyDescent="0.3">
      <c r="A4" s="29" t="s">
        <v>228</v>
      </c>
      <c r="B4" s="17">
        <v>24395</v>
      </c>
      <c r="C4" s="16">
        <v>4562.869745903</v>
      </c>
      <c r="D4" s="17">
        <v>83</v>
      </c>
      <c r="E4" s="31">
        <v>2728.18</v>
      </c>
    </row>
    <row r="5" spans="1:7" x14ac:dyDescent="0.3">
      <c r="A5" s="29" t="s">
        <v>229</v>
      </c>
      <c r="B5" s="17">
        <v>809</v>
      </c>
      <c r="C5" s="16">
        <v>56.835212765000001</v>
      </c>
      <c r="D5" s="17">
        <v>2366</v>
      </c>
      <c r="E5" s="31">
        <v>136.64183131300001</v>
      </c>
    </row>
    <row r="6" spans="1:7" x14ac:dyDescent="0.3">
      <c r="A6" s="29" t="s">
        <v>230</v>
      </c>
      <c r="B6" s="17">
        <v>303</v>
      </c>
      <c r="C6" s="16">
        <v>20.471051859999999</v>
      </c>
      <c r="D6" s="17">
        <v>589</v>
      </c>
      <c r="E6" s="31">
        <v>34.374424214000001</v>
      </c>
    </row>
    <row r="7" spans="1:7" x14ac:dyDescent="0.3">
      <c r="A7" s="29" t="s">
        <v>231</v>
      </c>
      <c r="B7" s="17">
        <v>2588</v>
      </c>
      <c r="C7" s="16">
        <v>2593.0302337399999</v>
      </c>
      <c r="D7" s="17">
        <v>12182</v>
      </c>
      <c r="E7" s="31">
        <v>5164.8522488119997</v>
      </c>
    </row>
    <row r="8" spans="1:7" x14ac:dyDescent="0.3">
      <c r="A8" s="29" t="s">
        <v>232</v>
      </c>
      <c r="B8" s="17">
        <v>1812</v>
      </c>
      <c r="C8" s="16">
        <v>1979.528862037</v>
      </c>
      <c r="D8" s="17">
        <v>473</v>
      </c>
      <c r="E8" s="31">
        <v>1593.984126861</v>
      </c>
    </row>
    <row r="9" spans="1:7" x14ac:dyDescent="0.3">
      <c r="A9" s="29" t="s">
        <v>8</v>
      </c>
      <c r="B9" s="17">
        <v>4204</v>
      </c>
      <c r="C9" s="16">
        <v>1610.037874419</v>
      </c>
      <c r="D9" s="17">
        <v>9360</v>
      </c>
      <c r="E9" s="31">
        <v>2145.161210278</v>
      </c>
    </row>
    <row r="10" spans="1:7" x14ac:dyDescent="0.3">
      <c r="A10" s="29" t="s">
        <v>233</v>
      </c>
      <c r="B10" s="17">
        <v>3026</v>
      </c>
      <c r="C10" s="16">
        <v>1389.667015796</v>
      </c>
      <c r="D10" s="17">
        <v>4505</v>
      </c>
      <c r="E10" s="31">
        <v>1581.899838346</v>
      </c>
    </row>
    <row r="11" spans="1:7" x14ac:dyDescent="0.3">
      <c r="A11" s="29" t="s">
        <v>234</v>
      </c>
      <c r="B11" s="17">
        <v>234</v>
      </c>
      <c r="C11" s="16">
        <v>38.156104499999998</v>
      </c>
      <c r="D11" s="17">
        <v>757</v>
      </c>
      <c r="E11" s="31">
        <v>46.327459001999998</v>
      </c>
    </row>
    <row r="12" spans="1:7" x14ac:dyDescent="0.3">
      <c r="A12" s="29" t="s">
        <v>12</v>
      </c>
      <c r="B12" s="17">
        <v>52335</v>
      </c>
      <c r="C12" s="16">
        <v>15550.798362334999</v>
      </c>
      <c r="D12" s="17">
        <v>63360</v>
      </c>
      <c r="E12" s="31">
        <v>16779.361034892001</v>
      </c>
    </row>
    <row r="13" spans="1:7" x14ac:dyDescent="0.3">
      <c r="A13" s="29" t="s">
        <v>235</v>
      </c>
      <c r="B13" s="17">
        <v>2239</v>
      </c>
      <c r="C13" s="16">
        <v>6775.9077112060004</v>
      </c>
      <c r="D13" s="17">
        <v>2412</v>
      </c>
      <c r="E13" s="31">
        <v>9539.4059010180008</v>
      </c>
    </row>
    <row r="14" spans="1:7" x14ac:dyDescent="0.3">
      <c r="A14" s="29" t="s">
        <v>13</v>
      </c>
      <c r="B14" s="17">
        <v>1267364</v>
      </c>
      <c r="C14" s="16">
        <v>807983.16429356602</v>
      </c>
      <c r="D14" s="17">
        <v>1057110</v>
      </c>
      <c r="E14" s="31">
        <v>873199.90564669704</v>
      </c>
    </row>
    <row r="15" spans="1:7" x14ac:dyDescent="0.3">
      <c r="A15" s="29" t="s">
        <v>18</v>
      </c>
      <c r="B15" s="17">
        <v>53102</v>
      </c>
      <c r="C15" s="16">
        <v>19058.339066804001</v>
      </c>
      <c r="D15" s="17">
        <v>92497</v>
      </c>
      <c r="E15" s="31">
        <v>15988.862780054</v>
      </c>
    </row>
    <row r="16" spans="1:7" x14ac:dyDescent="0.3">
      <c r="A16" s="29" t="s">
        <v>236</v>
      </c>
      <c r="B16" s="17">
        <v>29004</v>
      </c>
      <c r="C16" s="16">
        <v>66273.091161521996</v>
      </c>
      <c r="D16" s="17">
        <v>12653</v>
      </c>
      <c r="E16" s="31">
        <v>54406.516189622998</v>
      </c>
    </row>
    <row r="17" spans="1:5" x14ac:dyDescent="0.3">
      <c r="A17" s="29" t="s">
        <v>237</v>
      </c>
      <c r="B17" s="17">
        <v>454</v>
      </c>
      <c r="C17" s="16">
        <v>258.93966483999998</v>
      </c>
      <c r="D17" s="17">
        <v>198</v>
      </c>
      <c r="E17" s="31">
        <v>153.27245583999999</v>
      </c>
    </row>
    <row r="18" spans="1:5" x14ac:dyDescent="0.3">
      <c r="A18" s="29" t="s">
        <v>22</v>
      </c>
      <c r="B18" s="17">
        <v>608007</v>
      </c>
      <c r="C18" s="16">
        <v>134647.01325053599</v>
      </c>
      <c r="D18" s="17">
        <v>755757</v>
      </c>
      <c r="E18" s="31">
        <v>156480.288818848</v>
      </c>
    </row>
    <row r="19" spans="1:5" x14ac:dyDescent="0.3">
      <c r="A19" s="29" t="s">
        <v>23</v>
      </c>
      <c r="B19" s="17">
        <v>255</v>
      </c>
      <c r="C19" s="16">
        <v>88.939079253000003</v>
      </c>
      <c r="D19" s="17">
        <v>526</v>
      </c>
      <c r="E19" s="31">
        <v>112.402136207</v>
      </c>
    </row>
    <row r="20" spans="1:5" x14ac:dyDescent="0.3">
      <c r="A20" s="29" t="s">
        <v>24</v>
      </c>
      <c r="B20" s="17">
        <v>329102</v>
      </c>
      <c r="C20" s="16">
        <v>122095.00561823</v>
      </c>
      <c r="D20" s="17">
        <v>490162</v>
      </c>
      <c r="E20" s="31">
        <v>148276.68742500601</v>
      </c>
    </row>
    <row r="21" spans="1:5" x14ac:dyDescent="0.3">
      <c r="A21" s="29" t="s">
        <v>25</v>
      </c>
      <c r="B21" s="17">
        <v>122314</v>
      </c>
      <c r="C21" s="16">
        <v>31393.0766649</v>
      </c>
      <c r="D21" s="17">
        <v>156322</v>
      </c>
      <c r="E21" s="31">
        <v>35281.747860115</v>
      </c>
    </row>
    <row r="22" spans="1:5" x14ac:dyDescent="0.3">
      <c r="A22" s="29" t="s">
        <v>238</v>
      </c>
      <c r="B22" s="17">
        <v>3901</v>
      </c>
      <c r="C22" s="16">
        <v>21025.442926008</v>
      </c>
      <c r="D22" s="17">
        <v>4424</v>
      </c>
      <c r="E22" s="31">
        <v>21497.234218279998</v>
      </c>
    </row>
    <row r="23" spans="1:5" x14ac:dyDescent="0.3">
      <c r="A23" s="29" t="s">
        <v>239</v>
      </c>
      <c r="B23" s="17">
        <v>4552</v>
      </c>
      <c r="C23" s="16">
        <v>440.37033047199998</v>
      </c>
      <c r="D23" s="17">
        <v>6448</v>
      </c>
      <c r="E23" s="31">
        <v>758.96572905000005</v>
      </c>
    </row>
    <row r="24" spans="1:5" x14ac:dyDescent="0.3">
      <c r="A24" s="29" t="s">
        <v>240</v>
      </c>
      <c r="B24" s="17">
        <v>171</v>
      </c>
      <c r="C24" s="16">
        <v>14.441733586</v>
      </c>
      <c r="D24" s="17">
        <v>527</v>
      </c>
      <c r="E24" s="31">
        <v>49.431563666000002</v>
      </c>
    </row>
    <row r="25" spans="1:5" x14ac:dyDescent="0.3">
      <c r="A25" s="29" t="s">
        <v>241</v>
      </c>
      <c r="B25" s="17">
        <v>197527</v>
      </c>
      <c r="C25" s="16">
        <v>52725.354419026</v>
      </c>
      <c r="D25" s="17">
        <v>7845</v>
      </c>
      <c r="E25" s="31">
        <v>57510.140518134001</v>
      </c>
    </row>
    <row r="26" spans="1:5" x14ac:dyDescent="0.3">
      <c r="A26" s="29" t="s">
        <v>242</v>
      </c>
      <c r="B26" s="17">
        <v>871</v>
      </c>
      <c r="C26" s="16">
        <v>164.681721649</v>
      </c>
      <c r="D26" s="17">
        <v>4476</v>
      </c>
      <c r="E26" s="31">
        <v>368.80664492099999</v>
      </c>
    </row>
    <row r="27" spans="1:5" x14ac:dyDescent="0.3">
      <c r="A27" s="29" t="s">
        <v>243</v>
      </c>
      <c r="B27" s="17">
        <v>469050</v>
      </c>
      <c r="C27" s="16">
        <v>149393.26325983601</v>
      </c>
      <c r="D27" s="17">
        <v>582498</v>
      </c>
      <c r="E27" s="31">
        <v>196322.46910205699</v>
      </c>
    </row>
    <row r="28" spans="1:5" x14ac:dyDescent="0.3">
      <c r="A28" s="29" t="s">
        <v>244</v>
      </c>
      <c r="B28" s="17">
        <v>9773</v>
      </c>
      <c r="C28" s="16">
        <v>877.20782129700001</v>
      </c>
      <c r="D28" s="17">
        <v>14804</v>
      </c>
      <c r="E28" s="31">
        <v>1030.980968736</v>
      </c>
    </row>
    <row r="29" spans="1:5" x14ac:dyDescent="0.3">
      <c r="A29" s="29" t="s">
        <v>245</v>
      </c>
      <c r="B29" s="17">
        <v>15924</v>
      </c>
      <c r="C29" s="16">
        <v>2831.1322069950002</v>
      </c>
      <c r="D29" s="17">
        <v>16732</v>
      </c>
      <c r="E29" s="31">
        <v>2661.0734386640002</v>
      </c>
    </row>
    <row r="30" spans="1:5" x14ac:dyDescent="0.3">
      <c r="A30" s="29" t="s">
        <v>36</v>
      </c>
      <c r="B30" s="17">
        <v>191984</v>
      </c>
      <c r="C30" s="16">
        <v>121483.05466804199</v>
      </c>
      <c r="D30" s="17">
        <v>288228</v>
      </c>
      <c r="E30" s="31">
        <v>126141.73516868999</v>
      </c>
    </row>
    <row r="31" spans="1:5" x14ac:dyDescent="0.3">
      <c r="A31" s="29" t="s">
        <v>246</v>
      </c>
      <c r="B31" s="17">
        <v>246692</v>
      </c>
      <c r="C31" s="16">
        <v>437888.37949847698</v>
      </c>
      <c r="D31" s="17">
        <v>174665</v>
      </c>
      <c r="E31" s="31">
        <v>420422.079666326</v>
      </c>
    </row>
    <row r="32" spans="1:5" x14ac:dyDescent="0.3">
      <c r="A32" s="29" t="s">
        <v>247</v>
      </c>
      <c r="B32" s="17">
        <v>1386</v>
      </c>
      <c r="C32" s="16">
        <v>265.11496934899998</v>
      </c>
      <c r="D32" s="17">
        <v>1222</v>
      </c>
      <c r="E32" s="31">
        <v>243.60398088700001</v>
      </c>
    </row>
    <row r="33" spans="1:5" x14ac:dyDescent="0.3">
      <c r="A33" s="29" t="s">
        <v>248</v>
      </c>
      <c r="B33" s="17">
        <v>92310</v>
      </c>
      <c r="C33" s="16">
        <v>11325.378433918</v>
      </c>
      <c r="D33" s="17">
        <v>103101</v>
      </c>
      <c r="E33" s="31">
        <v>11364.395359781</v>
      </c>
    </row>
    <row r="34" spans="1:5" x14ac:dyDescent="0.3">
      <c r="A34" s="29" t="s">
        <v>249</v>
      </c>
      <c r="B34" s="17">
        <v>476</v>
      </c>
      <c r="C34" s="16">
        <v>29.790587855999998</v>
      </c>
      <c r="D34" s="17">
        <v>1285</v>
      </c>
      <c r="E34" s="31">
        <v>79.448769690999995</v>
      </c>
    </row>
    <row r="35" spans="1:5" x14ac:dyDescent="0.3">
      <c r="A35" s="29" t="s">
        <v>250</v>
      </c>
      <c r="B35" s="17">
        <v>546</v>
      </c>
      <c r="C35" s="16">
        <v>2935.558594565</v>
      </c>
      <c r="D35" s="17">
        <v>621</v>
      </c>
      <c r="E35" s="31">
        <v>2961.059932051</v>
      </c>
    </row>
    <row r="36" spans="1:5" x14ac:dyDescent="0.3">
      <c r="A36" s="29" t="s">
        <v>251</v>
      </c>
      <c r="B36" s="17">
        <v>1116</v>
      </c>
      <c r="C36" s="16">
        <v>6580.1840264350003</v>
      </c>
      <c r="D36" s="17">
        <v>515</v>
      </c>
      <c r="E36" s="31">
        <v>8120.2351450850001</v>
      </c>
    </row>
    <row r="37" spans="1:5" x14ac:dyDescent="0.3">
      <c r="A37" s="29" t="s">
        <v>44</v>
      </c>
      <c r="B37" s="17">
        <v>184</v>
      </c>
      <c r="C37" s="16">
        <v>2248.2663727650001</v>
      </c>
      <c r="D37" s="17">
        <v>183</v>
      </c>
      <c r="E37" s="31">
        <v>2446.6540320459999</v>
      </c>
    </row>
    <row r="38" spans="1:5" x14ac:dyDescent="0.3">
      <c r="A38" s="29" t="s">
        <v>252</v>
      </c>
      <c r="B38" s="17">
        <v>392</v>
      </c>
      <c r="C38" s="16">
        <v>994.69804927200005</v>
      </c>
      <c r="D38" s="17">
        <v>453</v>
      </c>
      <c r="E38" s="31">
        <v>985.775886044</v>
      </c>
    </row>
    <row r="39" spans="1:5" x14ac:dyDescent="0.3">
      <c r="A39" s="29" t="s">
        <v>253</v>
      </c>
      <c r="B39" s="17">
        <v>33697</v>
      </c>
      <c r="C39" s="16">
        <v>24550.290713738999</v>
      </c>
      <c r="D39" s="17">
        <v>24604</v>
      </c>
      <c r="E39" s="31">
        <v>23728.487830597998</v>
      </c>
    </row>
    <row r="40" spans="1:5" x14ac:dyDescent="0.3">
      <c r="A40" s="29" t="s">
        <v>254</v>
      </c>
      <c r="B40" s="17">
        <v>33597</v>
      </c>
      <c r="C40" s="16">
        <v>6438.2727418820004</v>
      </c>
      <c r="D40" s="17">
        <v>36773</v>
      </c>
      <c r="E40" s="31">
        <v>6603.5199744729998</v>
      </c>
    </row>
    <row r="41" spans="1:5" x14ac:dyDescent="0.3">
      <c r="A41" s="29" t="s">
        <v>255</v>
      </c>
      <c r="B41" s="17">
        <v>995</v>
      </c>
      <c r="C41" s="16">
        <v>151.75624420299999</v>
      </c>
      <c r="D41" s="17">
        <v>1247</v>
      </c>
      <c r="E41" s="31">
        <v>160.35050017200001</v>
      </c>
    </row>
    <row r="42" spans="1:5" x14ac:dyDescent="0.3">
      <c r="A42" s="29" t="s">
        <v>256</v>
      </c>
      <c r="B42" s="17">
        <v>18</v>
      </c>
      <c r="C42" s="16">
        <v>124.70862030000001</v>
      </c>
      <c r="D42" s="17">
        <v>0</v>
      </c>
      <c r="E42" s="31">
        <v>0</v>
      </c>
    </row>
    <row r="43" spans="1:5" x14ac:dyDescent="0.3">
      <c r="A43" s="29" t="s">
        <v>257</v>
      </c>
      <c r="B43" s="17">
        <v>87955</v>
      </c>
      <c r="C43" s="16">
        <v>393108.06082769303</v>
      </c>
      <c r="D43" s="17">
        <v>31954</v>
      </c>
      <c r="E43" s="31">
        <v>386774.99507779698</v>
      </c>
    </row>
    <row r="44" spans="1:5" x14ac:dyDescent="0.3">
      <c r="A44" s="29" t="s">
        <v>258</v>
      </c>
      <c r="B44" s="17">
        <v>11652</v>
      </c>
      <c r="C44" s="16">
        <v>1521.2150788500001</v>
      </c>
      <c r="D44" s="17">
        <v>16052</v>
      </c>
      <c r="E44" s="31">
        <v>1820.974159722</v>
      </c>
    </row>
    <row r="45" spans="1:5" x14ac:dyDescent="0.3">
      <c r="A45" s="29" t="s">
        <v>259</v>
      </c>
      <c r="B45" s="17">
        <v>475</v>
      </c>
      <c r="C45" s="16">
        <v>33.522857483000003</v>
      </c>
      <c r="D45" s="17">
        <v>658</v>
      </c>
      <c r="E45" s="31">
        <v>41.470369214999998</v>
      </c>
    </row>
    <row r="46" spans="1:5" x14ac:dyDescent="0.3">
      <c r="A46" s="29" t="s">
        <v>260</v>
      </c>
      <c r="B46" s="17">
        <v>375</v>
      </c>
      <c r="C46" s="16">
        <v>77.472275843999995</v>
      </c>
      <c r="D46" s="17">
        <v>463</v>
      </c>
      <c r="E46" s="31">
        <v>147.017243474</v>
      </c>
    </row>
    <row r="47" spans="1:5" x14ac:dyDescent="0.3">
      <c r="A47" s="29" t="s">
        <v>261</v>
      </c>
      <c r="B47" s="17">
        <v>2915</v>
      </c>
      <c r="C47" s="16">
        <v>385.70391722400001</v>
      </c>
      <c r="D47" s="17">
        <v>4152</v>
      </c>
      <c r="E47" s="31">
        <v>495.51056541399998</v>
      </c>
    </row>
    <row r="48" spans="1:5" x14ac:dyDescent="0.3">
      <c r="A48" s="29" t="s">
        <v>262</v>
      </c>
      <c r="B48" s="17">
        <v>105</v>
      </c>
      <c r="C48" s="16">
        <v>19.535018823000001</v>
      </c>
      <c r="D48" s="17">
        <v>275</v>
      </c>
      <c r="E48" s="31">
        <v>51.711626725999999</v>
      </c>
    </row>
    <row r="49" spans="1:5" x14ac:dyDescent="0.3">
      <c r="A49" s="29" t="s">
        <v>57</v>
      </c>
      <c r="B49" s="17">
        <v>186</v>
      </c>
      <c r="C49" s="16">
        <v>943.40527120100001</v>
      </c>
      <c r="D49" s="17">
        <v>255</v>
      </c>
      <c r="E49" s="31">
        <v>2344.5279520270001</v>
      </c>
    </row>
    <row r="50" spans="1:5" x14ac:dyDescent="0.3">
      <c r="A50" s="29" t="s">
        <v>263</v>
      </c>
      <c r="B50" s="17">
        <v>22754</v>
      </c>
      <c r="C50" s="16">
        <v>4679.9282315760001</v>
      </c>
      <c r="D50" s="17">
        <v>24309</v>
      </c>
      <c r="E50" s="31">
        <v>5850.7945642329996</v>
      </c>
    </row>
    <row r="51" spans="1:5" x14ac:dyDescent="0.3">
      <c r="A51" s="29" t="s">
        <v>264</v>
      </c>
      <c r="B51" s="17">
        <v>4431</v>
      </c>
      <c r="C51" s="16">
        <v>700.83768646800002</v>
      </c>
      <c r="D51" s="17">
        <v>9761</v>
      </c>
      <c r="E51" s="31">
        <v>1121.3939390319999</v>
      </c>
    </row>
    <row r="52" spans="1:5" x14ac:dyDescent="0.3">
      <c r="A52" s="29" t="s">
        <v>265</v>
      </c>
      <c r="B52" s="17">
        <v>233</v>
      </c>
      <c r="C52" s="16">
        <v>4289.5958579139997</v>
      </c>
      <c r="D52" s="17">
        <v>60</v>
      </c>
      <c r="E52" s="31">
        <v>7165.337110595</v>
      </c>
    </row>
    <row r="53" spans="1:5" x14ac:dyDescent="0.3">
      <c r="A53" s="29" t="s">
        <v>266</v>
      </c>
      <c r="B53" s="17">
        <v>165823</v>
      </c>
      <c r="C53" s="16">
        <v>48691.750963514001</v>
      </c>
      <c r="D53" s="17">
        <v>197437</v>
      </c>
      <c r="E53" s="31">
        <v>49598.646504793003</v>
      </c>
    </row>
    <row r="54" spans="1:5" x14ac:dyDescent="0.3">
      <c r="A54" s="29" t="s">
        <v>267</v>
      </c>
      <c r="B54" s="17">
        <v>2981</v>
      </c>
      <c r="C54" s="16">
        <v>632.18695238199996</v>
      </c>
      <c r="D54" s="17">
        <v>3933</v>
      </c>
      <c r="E54" s="31">
        <v>890.53772495600003</v>
      </c>
    </row>
    <row r="55" spans="1:5" x14ac:dyDescent="0.3">
      <c r="A55" s="29" t="s">
        <v>63</v>
      </c>
      <c r="B55" s="17">
        <v>8485</v>
      </c>
      <c r="C55" s="16">
        <v>3395.0013243570002</v>
      </c>
      <c r="D55" s="17">
        <v>3838</v>
      </c>
      <c r="E55" s="31">
        <v>3134.3353868849999</v>
      </c>
    </row>
    <row r="56" spans="1:5" x14ac:dyDescent="0.3">
      <c r="A56" s="29" t="s">
        <v>268</v>
      </c>
      <c r="B56" s="17">
        <v>32</v>
      </c>
      <c r="C56" s="16">
        <v>304.03864089299998</v>
      </c>
      <c r="D56" s="17">
        <v>37</v>
      </c>
      <c r="E56" s="31">
        <v>980.06607058500003</v>
      </c>
    </row>
    <row r="57" spans="1:5" x14ac:dyDescent="0.3">
      <c r="A57" s="29" t="s">
        <v>269</v>
      </c>
      <c r="B57" s="17">
        <v>3</v>
      </c>
      <c r="C57" s="16">
        <v>0.30550302699999998</v>
      </c>
      <c r="D57" s="17">
        <v>10</v>
      </c>
      <c r="E57" s="31">
        <v>73.367609813000001</v>
      </c>
    </row>
    <row r="58" spans="1:5" x14ac:dyDescent="0.3">
      <c r="A58" s="29" t="s">
        <v>270</v>
      </c>
      <c r="B58" s="17">
        <v>37</v>
      </c>
      <c r="C58" s="16">
        <v>9916</v>
      </c>
      <c r="D58" s="17">
        <v>37</v>
      </c>
      <c r="E58" s="31">
        <v>9919.92</v>
      </c>
    </row>
    <row r="59" spans="1:5" x14ac:dyDescent="0.3">
      <c r="A59" s="29" t="s">
        <v>271</v>
      </c>
      <c r="B59" s="17">
        <v>5001</v>
      </c>
      <c r="C59" s="16">
        <v>2145.7280068539999</v>
      </c>
      <c r="D59" s="17">
        <v>7276</v>
      </c>
      <c r="E59" s="31">
        <v>2217.4433108339999</v>
      </c>
    </row>
    <row r="60" spans="1:5" x14ac:dyDescent="0.3">
      <c r="A60" s="29" t="s">
        <v>272</v>
      </c>
      <c r="B60" s="17">
        <v>2380</v>
      </c>
      <c r="C60" s="16">
        <v>686.88410326400003</v>
      </c>
      <c r="D60" s="17">
        <v>4429</v>
      </c>
      <c r="E60" s="31">
        <v>763.80500323399997</v>
      </c>
    </row>
    <row r="61" spans="1:5" x14ac:dyDescent="0.3">
      <c r="A61" s="29" t="s">
        <v>273</v>
      </c>
      <c r="B61" s="17">
        <v>3128156</v>
      </c>
      <c r="C61" s="16">
        <v>1840034.09515383</v>
      </c>
      <c r="D61" s="17">
        <v>2678588</v>
      </c>
      <c r="E61" s="31">
        <v>2094573.4563470499</v>
      </c>
    </row>
    <row r="62" spans="1:5" x14ac:dyDescent="0.3">
      <c r="A62" s="29" t="s">
        <v>274</v>
      </c>
      <c r="B62" s="17">
        <v>1739222</v>
      </c>
      <c r="C62" s="16">
        <v>1084367.7208410201</v>
      </c>
      <c r="D62" s="17">
        <v>1733468</v>
      </c>
      <c r="E62" s="31">
        <v>1108818.804396</v>
      </c>
    </row>
    <row r="63" spans="1:5" x14ac:dyDescent="0.3">
      <c r="A63" s="29" t="s">
        <v>275</v>
      </c>
      <c r="B63" s="17">
        <v>401</v>
      </c>
      <c r="C63" s="16">
        <v>58646.901151477003</v>
      </c>
      <c r="D63" s="17">
        <v>290</v>
      </c>
      <c r="E63" s="31">
        <v>59182.471949594001</v>
      </c>
    </row>
    <row r="64" spans="1:5" x14ac:dyDescent="0.3">
      <c r="A64" s="29" t="s">
        <v>276</v>
      </c>
      <c r="B64" s="17">
        <v>383026</v>
      </c>
      <c r="C64" s="16">
        <v>179913.21479260101</v>
      </c>
      <c r="D64" s="17">
        <v>319094</v>
      </c>
      <c r="E64" s="31">
        <v>157331.69807293199</v>
      </c>
    </row>
    <row r="65" spans="1:5" x14ac:dyDescent="0.3">
      <c r="A65" s="29" t="s">
        <v>277</v>
      </c>
      <c r="B65" s="17">
        <v>125037</v>
      </c>
      <c r="C65" s="16">
        <v>58073.893825168998</v>
      </c>
      <c r="D65" s="17">
        <v>170706</v>
      </c>
      <c r="E65" s="31">
        <v>51010.259387457998</v>
      </c>
    </row>
    <row r="66" spans="1:5" x14ac:dyDescent="0.3">
      <c r="A66" s="29" t="s">
        <v>278</v>
      </c>
      <c r="B66" s="17">
        <v>672</v>
      </c>
      <c r="C66" s="16">
        <v>63.158591342999998</v>
      </c>
      <c r="D66" s="17">
        <v>1348</v>
      </c>
      <c r="E66" s="31">
        <v>153.02218047700001</v>
      </c>
    </row>
    <row r="67" spans="1:5" x14ac:dyDescent="0.3">
      <c r="A67" s="29" t="s">
        <v>75</v>
      </c>
      <c r="B67" s="17">
        <v>263486</v>
      </c>
      <c r="C67" s="16">
        <v>88055.697452844004</v>
      </c>
      <c r="D67" s="17">
        <v>362924</v>
      </c>
      <c r="E67" s="31">
        <v>80916.644161819</v>
      </c>
    </row>
    <row r="68" spans="1:5" x14ac:dyDescent="0.3">
      <c r="A68" s="29" t="s">
        <v>279</v>
      </c>
      <c r="B68" s="17">
        <v>5785</v>
      </c>
      <c r="C68" s="16">
        <v>14717.328366672</v>
      </c>
      <c r="D68" s="17">
        <v>3149</v>
      </c>
      <c r="E68" s="31">
        <v>14550.259103376</v>
      </c>
    </row>
    <row r="69" spans="1:5" x14ac:dyDescent="0.3">
      <c r="A69" s="29" t="s">
        <v>76</v>
      </c>
      <c r="B69" s="17">
        <v>156237</v>
      </c>
      <c r="C69" s="16">
        <v>33954.457944686001</v>
      </c>
      <c r="D69" s="17">
        <v>162658</v>
      </c>
      <c r="E69" s="31">
        <v>34523.700913335997</v>
      </c>
    </row>
    <row r="70" spans="1:5" x14ac:dyDescent="0.3">
      <c r="A70" s="29" t="s">
        <v>74</v>
      </c>
      <c r="B70" s="17">
        <v>1734</v>
      </c>
      <c r="C70" s="16">
        <v>251.74730454900001</v>
      </c>
      <c r="D70" s="17">
        <v>1756</v>
      </c>
      <c r="E70" s="31">
        <v>113.554478014</v>
      </c>
    </row>
    <row r="71" spans="1:5" x14ac:dyDescent="0.3">
      <c r="A71" s="29" t="s">
        <v>280</v>
      </c>
      <c r="B71" s="17">
        <v>283860</v>
      </c>
      <c r="C71" s="16">
        <v>123824.96697608499</v>
      </c>
      <c r="D71" s="17">
        <v>261147</v>
      </c>
      <c r="E71" s="31">
        <v>128365.404627859</v>
      </c>
    </row>
    <row r="72" spans="1:5" x14ac:dyDescent="0.3">
      <c r="A72" s="29" t="s">
        <v>281</v>
      </c>
      <c r="B72" s="17">
        <v>359</v>
      </c>
      <c r="C72" s="16">
        <v>1156.0161377659999</v>
      </c>
      <c r="D72" s="17">
        <v>182</v>
      </c>
      <c r="E72" s="31">
        <v>1306.5178912710001</v>
      </c>
    </row>
    <row r="73" spans="1:5" x14ac:dyDescent="0.3">
      <c r="A73" s="29" t="s">
        <v>79</v>
      </c>
      <c r="B73" s="17">
        <v>161</v>
      </c>
      <c r="C73" s="16">
        <v>847.38888806700004</v>
      </c>
      <c r="D73" s="17">
        <v>365</v>
      </c>
      <c r="E73" s="31">
        <v>969.266999027</v>
      </c>
    </row>
    <row r="74" spans="1:5" x14ac:dyDescent="0.3">
      <c r="A74" s="29" t="s">
        <v>282</v>
      </c>
      <c r="B74" s="17">
        <v>159</v>
      </c>
      <c r="C74" s="16">
        <v>19.345544709999999</v>
      </c>
      <c r="D74" s="17">
        <v>660</v>
      </c>
      <c r="E74" s="31">
        <v>45.7255939</v>
      </c>
    </row>
    <row r="75" spans="1:5" x14ac:dyDescent="0.3">
      <c r="A75" s="29" t="s">
        <v>283</v>
      </c>
      <c r="B75" s="17">
        <v>1870</v>
      </c>
      <c r="C75" s="16">
        <v>290.51102563500001</v>
      </c>
      <c r="D75" s="17">
        <v>3209</v>
      </c>
      <c r="E75" s="31">
        <v>331.512732196</v>
      </c>
    </row>
    <row r="76" spans="1:5" x14ac:dyDescent="0.3">
      <c r="A76" s="29" t="s">
        <v>284</v>
      </c>
      <c r="B76" s="17">
        <v>397</v>
      </c>
      <c r="C76" s="16">
        <v>446.274414014</v>
      </c>
      <c r="D76" s="17">
        <v>464</v>
      </c>
      <c r="E76" s="31">
        <v>450.69224700400002</v>
      </c>
    </row>
    <row r="77" spans="1:5" x14ac:dyDescent="0.3">
      <c r="A77" s="29" t="s">
        <v>285</v>
      </c>
      <c r="B77" s="17">
        <v>1336</v>
      </c>
      <c r="C77" s="16">
        <v>139.33008021500001</v>
      </c>
      <c r="D77" s="17">
        <v>1843</v>
      </c>
      <c r="E77" s="31">
        <v>180.38264155300001</v>
      </c>
    </row>
    <row r="78" spans="1:5" x14ac:dyDescent="0.3">
      <c r="A78" s="29" t="s">
        <v>84</v>
      </c>
      <c r="B78" s="17">
        <v>4841</v>
      </c>
      <c r="C78" s="16">
        <v>4102.6741070529997</v>
      </c>
      <c r="D78" s="17">
        <v>4913</v>
      </c>
      <c r="E78" s="31">
        <v>4271.52150463</v>
      </c>
    </row>
    <row r="79" spans="1:5" x14ac:dyDescent="0.3">
      <c r="A79" s="29" t="s">
        <v>286</v>
      </c>
      <c r="B79" s="17">
        <v>7409</v>
      </c>
      <c r="C79" s="16">
        <v>1068.1980506479999</v>
      </c>
      <c r="D79" s="17">
        <v>11641</v>
      </c>
      <c r="E79" s="31">
        <v>1506.3654421450001</v>
      </c>
    </row>
    <row r="80" spans="1:5" x14ac:dyDescent="0.3">
      <c r="A80" s="29" t="s">
        <v>287</v>
      </c>
      <c r="B80" s="17">
        <v>113</v>
      </c>
      <c r="C80" s="16">
        <v>10.592249300000001</v>
      </c>
      <c r="D80" s="17">
        <v>596</v>
      </c>
      <c r="E80" s="31">
        <v>49.756969499999997</v>
      </c>
    </row>
    <row r="81" spans="1:5" x14ac:dyDescent="0.3">
      <c r="A81" s="29" t="s">
        <v>288</v>
      </c>
      <c r="B81" s="17">
        <v>1710</v>
      </c>
      <c r="C81" s="16">
        <v>239.55121346199999</v>
      </c>
      <c r="D81" s="17">
        <v>2005</v>
      </c>
      <c r="E81" s="31">
        <v>262.97607457599997</v>
      </c>
    </row>
    <row r="82" spans="1:5" x14ac:dyDescent="0.3">
      <c r="A82" s="29" t="s">
        <v>289</v>
      </c>
      <c r="B82" s="17">
        <v>20</v>
      </c>
      <c r="C82" s="16">
        <v>0.89578590000000002</v>
      </c>
      <c r="D82" s="17">
        <v>77</v>
      </c>
      <c r="E82" s="31">
        <v>5.0448260789999999</v>
      </c>
    </row>
    <row r="83" spans="1:5" x14ac:dyDescent="0.3">
      <c r="A83" s="29" t="s">
        <v>290</v>
      </c>
      <c r="B83" s="17">
        <v>79</v>
      </c>
      <c r="C83" s="16">
        <v>6.0921429280000003</v>
      </c>
      <c r="D83" s="17">
        <v>113</v>
      </c>
      <c r="E83" s="31">
        <v>78.809947605999994</v>
      </c>
    </row>
    <row r="84" spans="1:5" x14ac:dyDescent="0.3">
      <c r="A84" s="29" t="s">
        <v>291</v>
      </c>
      <c r="B84" s="17">
        <v>12997</v>
      </c>
      <c r="C84" s="16">
        <v>49812.22280145</v>
      </c>
      <c r="D84" s="17">
        <v>12522</v>
      </c>
      <c r="E84" s="31">
        <v>45949.791254399002</v>
      </c>
    </row>
    <row r="85" spans="1:5" x14ac:dyDescent="0.3">
      <c r="A85" s="29" t="s">
        <v>292</v>
      </c>
      <c r="B85" s="17">
        <v>3584</v>
      </c>
      <c r="C85" s="16">
        <v>575.57315325900004</v>
      </c>
      <c r="D85" s="17">
        <v>5271</v>
      </c>
      <c r="E85" s="31">
        <v>676.336010719</v>
      </c>
    </row>
    <row r="86" spans="1:5" x14ac:dyDescent="0.3">
      <c r="A86" s="29" t="s">
        <v>96</v>
      </c>
      <c r="B86" s="17">
        <v>83521</v>
      </c>
      <c r="C86" s="16">
        <v>10954.009812975</v>
      </c>
      <c r="D86" s="17">
        <v>103115</v>
      </c>
      <c r="E86" s="31">
        <v>12767.277350072</v>
      </c>
    </row>
    <row r="87" spans="1:5" x14ac:dyDescent="0.3">
      <c r="A87" s="29" t="s">
        <v>293</v>
      </c>
      <c r="B87" s="17">
        <v>9472</v>
      </c>
      <c r="C87" s="16">
        <v>3172.7431048899998</v>
      </c>
      <c r="D87" s="17">
        <v>19998</v>
      </c>
      <c r="E87" s="31">
        <v>2539.439995408</v>
      </c>
    </row>
    <row r="88" spans="1:5" x14ac:dyDescent="0.3">
      <c r="A88" s="29" t="s">
        <v>294</v>
      </c>
      <c r="B88" s="17">
        <v>5462</v>
      </c>
      <c r="C88" s="16">
        <v>5077.6185618509999</v>
      </c>
      <c r="D88" s="17">
        <v>12398</v>
      </c>
      <c r="E88" s="31">
        <v>5136.285141024</v>
      </c>
    </row>
    <row r="89" spans="1:5" x14ac:dyDescent="0.3">
      <c r="A89" s="29" t="s">
        <v>295</v>
      </c>
      <c r="B89" s="17">
        <v>5982</v>
      </c>
      <c r="C89" s="16">
        <v>1101.390336142</v>
      </c>
      <c r="D89" s="17">
        <v>13916</v>
      </c>
      <c r="E89" s="31">
        <v>1240.676338324</v>
      </c>
    </row>
    <row r="90" spans="1:5" x14ac:dyDescent="0.3">
      <c r="A90" s="29" t="s">
        <v>99</v>
      </c>
      <c r="B90" s="17">
        <v>151355</v>
      </c>
      <c r="C90" s="16">
        <v>20087.389373777001</v>
      </c>
      <c r="D90" s="17">
        <v>182725</v>
      </c>
      <c r="E90" s="31">
        <v>21555.043127182002</v>
      </c>
    </row>
    <row r="91" spans="1:5" x14ac:dyDescent="0.3">
      <c r="A91" s="29" t="s">
        <v>296</v>
      </c>
      <c r="B91" s="17">
        <v>341</v>
      </c>
      <c r="C91" s="16">
        <v>3921.145542278</v>
      </c>
      <c r="D91" s="17">
        <v>250</v>
      </c>
      <c r="E91" s="31">
        <v>3910.3545077160002</v>
      </c>
    </row>
    <row r="92" spans="1:5" x14ac:dyDescent="0.3">
      <c r="A92" s="29" t="s">
        <v>297</v>
      </c>
      <c r="B92" s="17">
        <v>6532</v>
      </c>
      <c r="C92" s="16">
        <v>3303.1554546289999</v>
      </c>
      <c r="D92" s="17">
        <v>11303</v>
      </c>
      <c r="E92" s="31">
        <v>4247.3564900290003</v>
      </c>
    </row>
    <row r="93" spans="1:5" x14ac:dyDescent="0.3">
      <c r="A93" s="29" t="s">
        <v>100</v>
      </c>
      <c r="B93" s="17">
        <v>152</v>
      </c>
      <c r="C93" s="16">
        <v>12.266641288000001</v>
      </c>
      <c r="D93" s="17">
        <v>464</v>
      </c>
      <c r="E93" s="31">
        <v>28.904348398</v>
      </c>
    </row>
    <row r="94" spans="1:5" x14ac:dyDescent="0.3">
      <c r="A94" s="29" t="s">
        <v>101</v>
      </c>
      <c r="B94" s="17">
        <v>83</v>
      </c>
      <c r="C94" s="16">
        <v>2528.4036903030001</v>
      </c>
      <c r="D94" s="17">
        <v>101</v>
      </c>
      <c r="E94" s="31">
        <v>2526.5352967539998</v>
      </c>
    </row>
    <row r="95" spans="1:5" x14ac:dyDescent="0.3">
      <c r="A95" s="29" t="s">
        <v>298</v>
      </c>
      <c r="B95" s="17">
        <v>797098</v>
      </c>
      <c r="C95" s="16">
        <v>271878.750525899</v>
      </c>
      <c r="D95" s="17">
        <v>801680</v>
      </c>
      <c r="E95" s="31">
        <v>307875.81243542797</v>
      </c>
    </row>
    <row r="96" spans="1:5" x14ac:dyDescent="0.3">
      <c r="A96" s="29" t="s">
        <v>299</v>
      </c>
      <c r="B96" s="17">
        <v>1</v>
      </c>
      <c r="C96" s="16">
        <v>6.1038799999999997E-2</v>
      </c>
      <c r="D96" s="17">
        <v>8</v>
      </c>
      <c r="E96" s="31">
        <v>35.905846879999999</v>
      </c>
    </row>
    <row r="97" spans="1:5" x14ac:dyDescent="0.3">
      <c r="A97" s="29" t="s">
        <v>300</v>
      </c>
      <c r="B97" s="17">
        <v>2056</v>
      </c>
      <c r="C97" s="16">
        <v>130.64546057300001</v>
      </c>
      <c r="D97" s="17">
        <v>4394</v>
      </c>
      <c r="E97" s="31">
        <v>255.629679934</v>
      </c>
    </row>
    <row r="98" spans="1:5" x14ac:dyDescent="0.3">
      <c r="A98" s="29" t="s">
        <v>111</v>
      </c>
      <c r="B98" s="17">
        <v>5307</v>
      </c>
      <c r="C98" s="16">
        <v>2602.4068222760002</v>
      </c>
      <c r="D98" s="17">
        <v>10362</v>
      </c>
      <c r="E98" s="31">
        <v>2798.1403507479999</v>
      </c>
    </row>
    <row r="99" spans="1:5" x14ac:dyDescent="0.3">
      <c r="A99" s="29" t="s">
        <v>301</v>
      </c>
      <c r="B99" s="17">
        <v>1617</v>
      </c>
      <c r="C99" s="16">
        <v>141.801877305</v>
      </c>
      <c r="D99" s="17">
        <v>2354</v>
      </c>
      <c r="E99" s="31">
        <v>281.32970602199998</v>
      </c>
    </row>
    <row r="100" spans="1:5" x14ac:dyDescent="0.3">
      <c r="A100" s="29" t="s">
        <v>302</v>
      </c>
      <c r="B100" s="17">
        <v>187</v>
      </c>
      <c r="C100" s="16">
        <v>481.789721165</v>
      </c>
      <c r="D100" s="17">
        <v>90</v>
      </c>
      <c r="E100" s="31">
        <v>439.74577674699998</v>
      </c>
    </row>
    <row r="101" spans="1:5" x14ac:dyDescent="0.3">
      <c r="A101" s="29" t="s">
        <v>303</v>
      </c>
      <c r="B101" s="17">
        <v>13050</v>
      </c>
      <c r="C101" s="16">
        <v>1607.233391646</v>
      </c>
      <c r="D101" s="17">
        <v>19644</v>
      </c>
      <c r="E101" s="31">
        <v>2102.0543677249998</v>
      </c>
    </row>
    <row r="102" spans="1:5" x14ac:dyDescent="0.3">
      <c r="A102" s="29" t="s">
        <v>304</v>
      </c>
      <c r="B102" s="17">
        <v>4363</v>
      </c>
      <c r="C102" s="16">
        <v>15784.287447023</v>
      </c>
      <c r="D102" s="17">
        <v>5841</v>
      </c>
      <c r="E102" s="31">
        <v>17310.206083686</v>
      </c>
    </row>
    <row r="103" spans="1:5" x14ac:dyDescent="0.3">
      <c r="A103" s="29" t="s">
        <v>305</v>
      </c>
      <c r="B103" s="17">
        <v>416</v>
      </c>
      <c r="C103" s="16">
        <v>52.410021084</v>
      </c>
      <c r="D103" s="17">
        <v>763</v>
      </c>
      <c r="E103" s="31">
        <v>324.154479482</v>
      </c>
    </row>
    <row r="104" spans="1:5" x14ac:dyDescent="0.3">
      <c r="A104" s="29" t="s">
        <v>306</v>
      </c>
      <c r="B104" s="17">
        <v>36</v>
      </c>
      <c r="C104" s="16">
        <v>5072.9125430000004</v>
      </c>
      <c r="D104" s="17">
        <v>33</v>
      </c>
      <c r="E104" s="31">
        <v>4401.9811976000001</v>
      </c>
    </row>
    <row r="105" spans="1:5" x14ac:dyDescent="0.3">
      <c r="A105" s="29" t="s">
        <v>307</v>
      </c>
      <c r="B105" s="17">
        <v>4916</v>
      </c>
      <c r="C105" s="16">
        <v>11136.508613647</v>
      </c>
      <c r="D105" s="17">
        <v>7133</v>
      </c>
      <c r="E105" s="31">
        <v>11054.718204596</v>
      </c>
    </row>
    <row r="106" spans="1:5" x14ac:dyDescent="0.3">
      <c r="A106" s="29" t="s">
        <v>308</v>
      </c>
      <c r="B106" s="17">
        <v>1849</v>
      </c>
      <c r="C106" s="16">
        <v>468.66516570200002</v>
      </c>
      <c r="D106" s="17">
        <v>1513</v>
      </c>
      <c r="E106" s="31">
        <v>570.01250005600002</v>
      </c>
    </row>
    <row r="107" spans="1:5" x14ac:dyDescent="0.3">
      <c r="A107" s="29" t="s">
        <v>120</v>
      </c>
      <c r="B107" s="17">
        <v>338</v>
      </c>
      <c r="C107" s="16">
        <v>69037.316305531</v>
      </c>
      <c r="D107" s="17">
        <v>1619</v>
      </c>
      <c r="E107" s="31">
        <v>110592.57298767001</v>
      </c>
    </row>
    <row r="108" spans="1:5" x14ac:dyDescent="0.3">
      <c r="A108" s="29" t="s">
        <v>309</v>
      </c>
      <c r="B108" s="17">
        <v>1309</v>
      </c>
      <c r="C108" s="16">
        <v>361.65437051700002</v>
      </c>
      <c r="D108" s="17">
        <v>2505</v>
      </c>
      <c r="E108" s="31">
        <v>359.37931178999997</v>
      </c>
    </row>
    <row r="109" spans="1:5" x14ac:dyDescent="0.3">
      <c r="A109" s="29" t="s">
        <v>310</v>
      </c>
      <c r="B109" s="17">
        <v>2702</v>
      </c>
      <c r="C109" s="16">
        <v>395.20670430899997</v>
      </c>
      <c r="D109" s="17">
        <v>4507</v>
      </c>
      <c r="E109" s="31">
        <v>475.128171485</v>
      </c>
    </row>
    <row r="110" spans="1:5" x14ac:dyDescent="0.3">
      <c r="A110" s="29" t="s">
        <v>311</v>
      </c>
      <c r="B110" s="17">
        <v>1988</v>
      </c>
      <c r="C110" s="16">
        <v>184.85260948499999</v>
      </c>
      <c r="D110" s="17">
        <v>3322</v>
      </c>
      <c r="E110" s="31">
        <v>209.86519978999999</v>
      </c>
    </row>
    <row r="111" spans="1:5" x14ac:dyDescent="0.3">
      <c r="A111" s="29" t="s">
        <v>312</v>
      </c>
      <c r="B111" s="17">
        <v>6</v>
      </c>
      <c r="C111" s="16">
        <v>5.2997493999999996</v>
      </c>
      <c r="D111" s="17">
        <v>9</v>
      </c>
      <c r="E111" s="31">
        <v>19.045439500000001</v>
      </c>
    </row>
    <row r="112" spans="1:5" x14ac:dyDescent="0.3">
      <c r="A112" s="29" t="s">
        <v>313</v>
      </c>
      <c r="B112" s="17">
        <v>1582</v>
      </c>
      <c r="C112" s="16">
        <v>174.197706098</v>
      </c>
      <c r="D112" s="17">
        <v>2163</v>
      </c>
      <c r="E112" s="31">
        <v>238.62842651400001</v>
      </c>
    </row>
    <row r="113" spans="1:5" x14ac:dyDescent="0.3">
      <c r="A113" s="29" t="s">
        <v>127</v>
      </c>
      <c r="B113" s="17">
        <v>210</v>
      </c>
      <c r="C113" s="16">
        <v>11.61566479</v>
      </c>
      <c r="D113" s="17">
        <v>498</v>
      </c>
      <c r="E113" s="31">
        <v>30.264169015</v>
      </c>
    </row>
    <row r="114" spans="1:5" x14ac:dyDescent="0.3">
      <c r="A114" s="29" t="s">
        <v>314</v>
      </c>
      <c r="B114" s="17">
        <v>4949</v>
      </c>
      <c r="C114" s="16">
        <v>586.48386604899997</v>
      </c>
      <c r="D114" s="17">
        <v>5685</v>
      </c>
      <c r="E114" s="31">
        <v>663.46110662800004</v>
      </c>
    </row>
    <row r="115" spans="1:5" x14ac:dyDescent="0.3">
      <c r="A115" s="29" t="s">
        <v>315</v>
      </c>
      <c r="B115" s="17">
        <v>87</v>
      </c>
      <c r="C115" s="16">
        <v>20585.47332641</v>
      </c>
      <c r="D115" s="17">
        <v>87</v>
      </c>
      <c r="E115" s="31">
        <v>20584.388375898001</v>
      </c>
    </row>
    <row r="116" spans="1:5" x14ac:dyDescent="0.3">
      <c r="A116" s="29" t="s">
        <v>316</v>
      </c>
      <c r="B116" s="17">
        <v>155</v>
      </c>
      <c r="C116" s="16">
        <v>20.342263347999999</v>
      </c>
      <c r="D116" s="17">
        <v>775</v>
      </c>
      <c r="E116" s="31">
        <v>46.257435000000001</v>
      </c>
    </row>
    <row r="117" spans="1:5" x14ac:dyDescent="0.3">
      <c r="A117" s="29" t="s">
        <v>317</v>
      </c>
      <c r="B117" s="17">
        <v>4970</v>
      </c>
      <c r="C117" s="16">
        <v>4928.6451839800002</v>
      </c>
      <c r="D117" s="17">
        <v>1131</v>
      </c>
      <c r="E117" s="31">
        <v>4215.0928242709997</v>
      </c>
    </row>
    <row r="118" spans="1:5" x14ac:dyDescent="0.3">
      <c r="A118" s="29" t="s">
        <v>318</v>
      </c>
      <c r="B118" s="17">
        <v>5089</v>
      </c>
      <c r="C118" s="16">
        <v>159748.229637223</v>
      </c>
      <c r="D118" s="17">
        <v>6232</v>
      </c>
      <c r="E118" s="31">
        <v>159748.229637223</v>
      </c>
    </row>
    <row r="119" spans="1:5" x14ac:dyDescent="0.3">
      <c r="A119" s="29" t="s">
        <v>319</v>
      </c>
      <c r="B119" s="17">
        <v>5505</v>
      </c>
      <c r="C119" s="16">
        <v>536.61036660399998</v>
      </c>
      <c r="D119" s="17">
        <v>7062</v>
      </c>
      <c r="E119" s="31">
        <v>784.04879251399996</v>
      </c>
    </row>
    <row r="120" spans="1:5" x14ac:dyDescent="0.3">
      <c r="A120" s="29" t="s">
        <v>320</v>
      </c>
      <c r="B120" s="17">
        <v>472</v>
      </c>
      <c r="C120" s="16">
        <v>4417.1095024619999</v>
      </c>
      <c r="D120" s="17">
        <v>1507</v>
      </c>
      <c r="E120" s="31">
        <v>4698.0104536870003</v>
      </c>
    </row>
    <row r="121" spans="1:5" x14ac:dyDescent="0.3">
      <c r="A121" s="29" t="s">
        <v>321</v>
      </c>
      <c r="B121" s="17">
        <v>22340</v>
      </c>
      <c r="C121" s="16">
        <v>34080.666142262999</v>
      </c>
      <c r="D121" s="17">
        <v>77766</v>
      </c>
      <c r="E121" s="31">
        <v>42642.705627648997</v>
      </c>
    </row>
    <row r="122" spans="1:5" x14ac:dyDescent="0.3">
      <c r="A122" s="29" t="s">
        <v>322</v>
      </c>
      <c r="B122" s="17">
        <v>1009</v>
      </c>
      <c r="C122" s="16">
        <v>30745.438023588998</v>
      </c>
      <c r="D122" s="17">
        <v>533</v>
      </c>
      <c r="E122" s="31">
        <v>40890.774299436998</v>
      </c>
    </row>
    <row r="123" spans="1:5" x14ac:dyDescent="0.3">
      <c r="A123" s="29" t="s">
        <v>323</v>
      </c>
      <c r="B123" s="17">
        <v>2746</v>
      </c>
      <c r="C123" s="16">
        <v>210.395013371</v>
      </c>
      <c r="D123" s="17">
        <v>6361</v>
      </c>
      <c r="E123" s="31">
        <v>396.45115635299999</v>
      </c>
    </row>
    <row r="124" spans="1:5" x14ac:dyDescent="0.3">
      <c r="A124" s="29" t="s">
        <v>324</v>
      </c>
      <c r="B124" s="17">
        <v>10</v>
      </c>
      <c r="C124" s="16">
        <v>18.471605400000001</v>
      </c>
      <c r="D124" s="17">
        <v>10</v>
      </c>
      <c r="E124" s="31">
        <v>16.441182505</v>
      </c>
    </row>
    <row r="125" spans="1:5" x14ac:dyDescent="0.3">
      <c r="A125" s="29" t="s">
        <v>134</v>
      </c>
      <c r="B125" s="17">
        <v>48987</v>
      </c>
      <c r="C125" s="16">
        <v>14451.277856979999</v>
      </c>
      <c r="D125" s="17">
        <v>74168</v>
      </c>
      <c r="E125" s="31">
        <v>14042.662223093999</v>
      </c>
    </row>
    <row r="126" spans="1:5" x14ac:dyDescent="0.3">
      <c r="A126" s="29" t="s">
        <v>135</v>
      </c>
      <c r="B126" s="17">
        <v>701834</v>
      </c>
      <c r="C126" s="16">
        <v>171911.03401141899</v>
      </c>
      <c r="D126" s="17">
        <v>874914</v>
      </c>
      <c r="E126" s="31">
        <v>180614.041553891</v>
      </c>
    </row>
    <row r="127" spans="1:5" x14ac:dyDescent="0.3">
      <c r="A127" s="29" t="s">
        <v>325</v>
      </c>
      <c r="B127" s="17">
        <v>101</v>
      </c>
      <c r="C127" s="16">
        <v>997.15880639900001</v>
      </c>
      <c r="D127" s="17">
        <v>66</v>
      </c>
      <c r="E127" s="31">
        <v>924.16143099600004</v>
      </c>
    </row>
    <row r="128" spans="1:5" x14ac:dyDescent="0.3">
      <c r="A128" s="29" t="s">
        <v>141</v>
      </c>
      <c r="B128" s="17">
        <v>2236</v>
      </c>
      <c r="C128" s="16">
        <v>318.10856718899998</v>
      </c>
      <c r="D128" s="17">
        <v>3885</v>
      </c>
      <c r="E128" s="31">
        <v>751.94913435299998</v>
      </c>
    </row>
    <row r="129" spans="1:5" x14ac:dyDescent="0.3">
      <c r="A129" s="29" t="s">
        <v>326</v>
      </c>
      <c r="B129" s="17">
        <v>238</v>
      </c>
      <c r="C129" s="16">
        <v>31.813029181000001</v>
      </c>
      <c r="D129" s="17">
        <v>528</v>
      </c>
      <c r="E129" s="31">
        <v>35.91546125</v>
      </c>
    </row>
    <row r="130" spans="1:5" x14ac:dyDescent="0.3">
      <c r="A130" s="29" t="s">
        <v>143</v>
      </c>
      <c r="B130" s="17">
        <v>3036</v>
      </c>
      <c r="C130" s="16">
        <v>194.973556462</v>
      </c>
      <c r="D130" s="17">
        <v>8698</v>
      </c>
      <c r="E130" s="31">
        <v>624.36880398999995</v>
      </c>
    </row>
    <row r="131" spans="1:5" x14ac:dyDescent="0.3">
      <c r="A131" s="29" t="s">
        <v>327</v>
      </c>
      <c r="B131" s="17">
        <v>994</v>
      </c>
      <c r="C131" s="16">
        <v>164.077717855</v>
      </c>
      <c r="D131" s="17">
        <v>1727</v>
      </c>
      <c r="E131" s="31">
        <v>388.43817837900002</v>
      </c>
    </row>
    <row r="132" spans="1:5" x14ac:dyDescent="0.3">
      <c r="A132" s="29" t="s">
        <v>328</v>
      </c>
      <c r="B132" s="17">
        <v>3531</v>
      </c>
      <c r="C132" s="16">
        <v>1539.099044111</v>
      </c>
      <c r="D132" s="17">
        <v>4541</v>
      </c>
      <c r="E132" s="31">
        <v>1551.9759850630001</v>
      </c>
    </row>
    <row r="133" spans="1:5" x14ac:dyDescent="0.3">
      <c r="A133" s="29" t="s">
        <v>329</v>
      </c>
      <c r="B133" s="17">
        <v>78086</v>
      </c>
      <c r="C133" s="16">
        <v>56298.109029915002</v>
      </c>
      <c r="D133" s="17">
        <v>82431</v>
      </c>
      <c r="E133" s="31">
        <v>45011.106741814001</v>
      </c>
    </row>
    <row r="134" spans="1:5" x14ac:dyDescent="0.3">
      <c r="A134" s="29" t="s">
        <v>330</v>
      </c>
      <c r="B134" s="17">
        <v>63753</v>
      </c>
      <c r="C134" s="16">
        <v>659941.64728880499</v>
      </c>
      <c r="D134" s="17">
        <v>0</v>
      </c>
      <c r="E134" s="31">
        <v>0</v>
      </c>
    </row>
    <row r="135" spans="1:5" x14ac:dyDescent="0.3">
      <c r="A135" s="29" t="s">
        <v>331</v>
      </c>
      <c r="B135" s="17">
        <v>581</v>
      </c>
      <c r="C135" s="16">
        <v>52.395092026</v>
      </c>
      <c r="D135" s="17">
        <v>1614</v>
      </c>
      <c r="E135" s="31">
        <v>184.947779524</v>
      </c>
    </row>
    <row r="136" spans="1:5" x14ac:dyDescent="0.3">
      <c r="A136" s="29" t="s">
        <v>332</v>
      </c>
      <c r="B136" s="17">
        <v>460</v>
      </c>
      <c r="C136" s="16">
        <v>39.004790722999999</v>
      </c>
      <c r="D136" s="17">
        <v>665</v>
      </c>
      <c r="E136" s="31">
        <v>52.740450002000003</v>
      </c>
    </row>
    <row r="137" spans="1:5" x14ac:dyDescent="0.3">
      <c r="A137" s="29" t="s">
        <v>333</v>
      </c>
      <c r="B137" s="17">
        <v>585</v>
      </c>
      <c r="C137" s="16">
        <v>153.99348516000001</v>
      </c>
      <c r="D137" s="17">
        <v>946</v>
      </c>
      <c r="E137" s="31">
        <v>103.825071102</v>
      </c>
    </row>
    <row r="138" spans="1:5" x14ac:dyDescent="0.3">
      <c r="A138" s="29" t="s">
        <v>334</v>
      </c>
      <c r="B138" s="17">
        <v>75</v>
      </c>
      <c r="C138" s="16">
        <v>1228.320393488</v>
      </c>
      <c r="D138" s="17">
        <v>86</v>
      </c>
      <c r="E138" s="31">
        <v>1359.4723663499999</v>
      </c>
    </row>
    <row r="139" spans="1:5" x14ac:dyDescent="0.3">
      <c r="A139" s="29" t="s">
        <v>335</v>
      </c>
      <c r="B139" s="17">
        <v>850</v>
      </c>
      <c r="C139" s="16">
        <v>20597.742120473002</v>
      </c>
      <c r="D139" s="17">
        <v>3088</v>
      </c>
      <c r="E139" s="31">
        <v>49820.010434035001</v>
      </c>
    </row>
    <row r="140" spans="1:5" x14ac:dyDescent="0.3">
      <c r="A140" s="29" t="s">
        <v>336</v>
      </c>
      <c r="B140" s="17">
        <v>5905</v>
      </c>
      <c r="C140" s="16">
        <v>4976.5979530579998</v>
      </c>
      <c r="D140" s="17">
        <v>1851</v>
      </c>
      <c r="E140" s="31">
        <v>6880.8919333479998</v>
      </c>
    </row>
    <row r="141" spans="1:5" x14ac:dyDescent="0.3">
      <c r="A141" s="29" t="s">
        <v>337</v>
      </c>
      <c r="B141" s="17">
        <v>597</v>
      </c>
      <c r="C141" s="16">
        <v>119.748076391</v>
      </c>
      <c r="D141" s="17">
        <v>1505</v>
      </c>
      <c r="E141" s="31">
        <v>173.06453918599999</v>
      </c>
    </row>
    <row r="142" spans="1:5" x14ac:dyDescent="0.3">
      <c r="A142" s="29" t="s">
        <v>159</v>
      </c>
      <c r="B142" s="17">
        <v>3510</v>
      </c>
      <c r="C142" s="16">
        <v>5286.7742479970002</v>
      </c>
      <c r="D142" s="17">
        <v>2252</v>
      </c>
      <c r="E142" s="31">
        <v>5087.9737531860001</v>
      </c>
    </row>
    <row r="143" spans="1:5" x14ac:dyDescent="0.3">
      <c r="A143" s="29" t="s">
        <v>338</v>
      </c>
      <c r="B143" s="17">
        <v>2484</v>
      </c>
      <c r="C143" s="16">
        <v>568.22150619700005</v>
      </c>
      <c r="D143" s="17">
        <v>4037</v>
      </c>
      <c r="E143" s="31">
        <v>599.56206626200003</v>
      </c>
    </row>
    <row r="144" spans="1:5" x14ac:dyDescent="0.3">
      <c r="A144" s="29" t="s">
        <v>339</v>
      </c>
      <c r="B144" s="17">
        <v>1663</v>
      </c>
      <c r="C144" s="16">
        <v>197.38410271199999</v>
      </c>
      <c r="D144" s="17">
        <v>2029</v>
      </c>
      <c r="E144" s="31">
        <v>188.123252482</v>
      </c>
    </row>
    <row r="145" spans="1:5" x14ac:dyDescent="0.3">
      <c r="A145" s="29" t="s">
        <v>340</v>
      </c>
      <c r="B145" s="17">
        <v>1000</v>
      </c>
      <c r="C145" s="16">
        <v>154.031325839</v>
      </c>
      <c r="D145" s="17">
        <v>1877</v>
      </c>
      <c r="E145" s="31">
        <v>149.44331151200001</v>
      </c>
    </row>
    <row r="146" spans="1:5" x14ac:dyDescent="0.3">
      <c r="A146" s="29" t="s">
        <v>341</v>
      </c>
      <c r="B146" s="17">
        <v>236</v>
      </c>
      <c r="C146" s="16">
        <v>23.260122943999999</v>
      </c>
      <c r="D146" s="17">
        <v>869</v>
      </c>
      <c r="E146" s="31">
        <v>95.879226872999993</v>
      </c>
    </row>
    <row r="147" spans="1:5" x14ac:dyDescent="0.3">
      <c r="A147" s="29" t="s">
        <v>342</v>
      </c>
      <c r="B147" s="17">
        <v>179</v>
      </c>
      <c r="C147" s="16">
        <v>24.906473657999999</v>
      </c>
      <c r="D147" s="17">
        <v>90</v>
      </c>
      <c r="E147" s="31">
        <v>7.1902026499999998</v>
      </c>
    </row>
    <row r="148" spans="1:5" x14ac:dyDescent="0.3">
      <c r="A148" s="29" t="s">
        <v>163</v>
      </c>
      <c r="B148" s="17">
        <v>771</v>
      </c>
      <c r="C148" s="16">
        <v>6842.61134477</v>
      </c>
      <c r="D148" s="17">
        <v>332</v>
      </c>
      <c r="E148" s="31">
        <v>4678.0442221479998</v>
      </c>
    </row>
    <row r="149" spans="1:5" x14ac:dyDescent="0.3">
      <c r="A149" s="29" t="s">
        <v>343</v>
      </c>
      <c r="B149" s="17">
        <v>1726</v>
      </c>
      <c r="C149" s="16">
        <v>433.90013175600001</v>
      </c>
      <c r="D149" s="17">
        <v>3272</v>
      </c>
      <c r="E149" s="31">
        <v>338.04172875099999</v>
      </c>
    </row>
    <row r="150" spans="1:5" x14ac:dyDescent="0.3">
      <c r="A150" s="29" t="s">
        <v>165</v>
      </c>
      <c r="B150" s="17">
        <v>92688</v>
      </c>
      <c r="C150" s="16">
        <v>15827.261375001999</v>
      </c>
      <c r="D150" s="17">
        <v>95213</v>
      </c>
      <c r="E150" s="31">
        <v>15700.740172039001</v>
      </c>
    </row>
    <row r="151" spans="1:5" x14ac:dyDescent="0.3">
      <c r="A151" s="29" t="s">
        <v>344</v>
      </c>
      <c r="B151" s="17">
        <v>70</v>
      </c>
      <c r="C151" s="16">
        <v>42.792165699999998</v>
      </c>
      <c r="D151" s="17">
        <v>27</v>
      </c>
      <c r="E151" s="31">
        <v>4.5927041759999998</v>
      </c>
    </row>
    <row r="152" spans="1:5" x14ac:dyDescent="0.3">
      <c r="A152" s="29" t="s">
        <v>167</v>
      </c>
      <c r="B152" s="17">
        <v>240179</v>
      </c>
      <c r="C152" s="16">
        <v>250974.07727888299</v>
      </c>
      <c r="D152" s="17">
        <v>159933</v>
      </c>
      <c r="E152" s="31">
        <v>313058.90659529198</v>
      </c>
    </row>
    <row r="153" spans="1:5" x14ac:dyDescent="0.3">
      <c r="A153" s="29" t="s">
        <v>168</v>
      </c>
      <c r="B153" s="17">
        <v>2305425</v>
      </c>
      <c r="C153" s="16">
        <v>1110269.8677093</v>
      </c>
      <c r="D153" s="17">
        <v>1977730</v>
      </c>
      <c r="E153" s="31">
        <v>1169294.1596870599</v>
      </c>
    </row>
    <row r="154" spans="1:5" x14ac:dyDescent="0.3">
      <c r="A154" s="29" t="s">
        <v>345</v>
      </c>
      <c r="B154" s="17">
        <v>310</v>
      </c>
      <c r="C154" s="16">
        <v>26553.654763201001</v>
      </c>
      <c r="D154" s="17">
        <v>614</v>
      </c>
      <c r="E154" s="31">
        <v>25214.960451855</v>
      </c>
    </row>
    <row r="155" spans="1:5" x14ac:dyDescent="0.3">
      <c r="A155" s="29" t="s">
        <v>346</v>
      </c>
      <c r="B155" s="17">
        <v>462</v>
      </c>
      <c r="C155" s="16">
        <v>35.703371173999997</v>
      </c>
      <c r="D155" s="17">
        <v>1680</v>
      </c>
      <c r="E155" s="31">
        <v>122.901699455</v>
      </c>
    </row>
    <row r="156" spans="1:5" x14ac:dyDescent="0.3">
      <c r="A156" s="29" t="s">
        <v>170</v>
      </c>
      <c r="B156" s="17">
        <v>2601</v>
      </c>
      <c r="C156" s="16">
        <v>12733.586764223001</v>
      </c>
      <c r="D156" s="17">
        <v>2753</v>
      </c>
      <c r="E156" s="31">
        <v>15189.734298277999</v>
      </c>
    </row>
    <row r="157" spans="1:5" x14ac:dyDescent="0.3">
      <c r="A157" s="29" t="s">
        <v>347</v>
      </c>
      <c r="B157" s="17">
        <v>1899</v>
      </c>
      <c r="C157" s="16">
        <v>180.00949523899999</v>
      </c>
      <c r="D157" s="17">
        <v>1973</v>
      </c>
      <c r="E157" s="31">
        <v>304.65876489200002</v>
      </c>
    </row>
    <row r="158" spans="1:5" x14ac:dyDescent="0.3">
      <c r="A158" s="29" t="s">
        <v>348</v>
      </c>
      <c r="B158" s="17">
        <v>953</v>
      </c>
      <c r="C158" s="16">
        <v>536.99574561199995</v>
      </c>
      <c r="D158" s="17">
        <v>1008</v>
      </c>
      <c r="E158" s="31">
        <v>552.95186463200002</v>
      </c>
    </row>
    <row r="159" spans="1:5" x14ac:dyDescent="0.3">
      <c r="A159" s="29" t="s">
        <v>349</v>
      </c>
      <c r="B159" s="17">
        <v>25213</v>
      </c>
      <c r="C159" s="16">
        <v>4771.364832454</v>
      </c>
      <c r="D159" s="17">
        <v>30745</v>
      </c>
      <c r="E159" s="31">
        <v>5278.8364068219998</v>
      </c>
    </row>
    <row r="160" spans="1:5" x14ac:dyDescent="0.3">
      <c r="A160" s="29" t="s">
        <v>350</v>
      </c>
      <c r="B160" s="17">
        <v>76239</v>
      </c>
      <c r="C160" s="16">
        <v>11706.250594841</v>
      </c>
      <c r="D160" s="17">
        <v>110771</v>
      </c>
      <c r="E160" s="31">
        <v>12475.434739945</v>
      </c>
    </row>
    <row r="161" spans="1:5" x14ac:dyDescent="0.3">
      <c r="A161" s="29" t="s">
        <v>351</v>
      </c>
      <c r="B161" s="17">
        <v>2072</v>
      </c>
      <c r="C161" s="16">
        <v>1622.0770616679999</v>
      </c>
      <c r="D161" s="17">
        <v>9020</v>
      </c>
      <c r="E161" s="31">
        <v>1787.676680777</v>
      </c>
    </row>
    <row r="162" spans="1:5" x14ac:dyDescent="0.3">
      <c r="A162" s="29" t="s">
        <v>352</v>
      </c>
      <c r="B162" s="17">
        <v>468</v>
      </c>
      <c r="C162" s="16">
        <v>63.591806720999998</v>
      </c>
      <c r="D162" s="17">
        <v>603</v>
      </c>
      <c r="E162" s="31">
        <v>79.517668994999994</v>
      </c>
    </row>
    <row r="163" spans="1:5" x14ac:dyDescent="0.3">
      <c r="A163" s="29" t="s">
        <v>353</v>
      </c>
      <c r="B163" s="17">
        <v>1607</v>
      </c>
      <c r="C163" s="16">
        <v>179.00196897699999</v>
      </c>
      <c r="D163" s="17">
        <v>1887</v>
      </c>
      <c r="E163" s="31">
        <v>186.12777733799999</v>
      </c>
    </row>
    <row r="164" spans="1:5" x14ac:dyDescent="0.3">
      <c r="A164" s="29" t="s">
        <v>354</v>
      </c>
      <c r="B164" s="17">
        <v>1052</v>
      </c>
      <c r="C164" s="16">
        <v>118.27134291599999</v>
      </c>
      <c r="D164" s="17">
        <v>2033</v>
      </c>
      <c r="E164" s="31">
        <v>210.27442371199999</v>
      </c>
    </row>
    <row r="165" spans="1:5" x14ac:dyDescent="0.3">
      <c r="A165" s="29" t="s">
        <v>355</v>
      </c>
      <c r="B165" s="17">
        <v>5054</v>
      </c>
      <c r="C165" s="16">
        <v>449.67296644999999</v>
      </c>
      <c r="D165" s="17">
        <v>4017</v>
      </c>
      <c r="E165" s="31">
        <v>533.90344952800001</v>
      </c>
    </row>
    <row r="166" spans="1:5" x14ac:dyDescent="0.3">
      <c r="A166" s="29" t="s">
        <v>356</v>
      </c>
      <c r="B166" s="17">
        <v>0</v>
      </c>
      <c r="C166" s="16">
        <v>0</v>
      </c>
      <c r="D166" s="17">
        <v>12</v>
      </c>
      <c r="E166" s="31">
        <v>2.6738987999999999</v>
      </c>
    </row>
    <row r="167" spans="1:5" x14ac:dyDescent="0.3">
      <c r="A167" s="29" t="s">
        <v>357</v>
      </c>
      <c r="B167" s="17">
        <v>79</v>
      </c>
      <c r="C167" s="16">
        <v>8.6362585000000003</v>
      </c>
      <c r="D167" s="17">
        <v>0</v>
      </c>
      <c r="E167" s="31">
        <v>0</v>
      </c>
    </row>
    <row r="168" spans="1:5" x14ac:dyDescent="0.3">
      <c r="A168" s="29" t="s">
        <v>358</v>
      </c>
      <c r="B168" s="17">
        <v>599</v>
      </c>
      <c r="C168" s="16">
        <v>65.467476657999995</v>
      </c>
      <c r="D168" s="17">
        <v>1442</v>
      </c>
      <c r="E168" s="31">
        <v>482.86972550799999</v>
      </c>
    </row>
    <row r="169" spans="1:5" x14ac:dyDescent="0.3">
      <c r="A169" s="29" t="s">
        <v>359</v>
      </c>
      <c r="B169" s="17">
        <v>2986</v>
      </c>
      <c r="C169" s="16">
        <v>498.22896906099999</v>
      </c>
      <c r="D169" s="17">
        <v>5132</v>
      </c>
      <c r="E169" s="31">
        <v>719.37379616199996</v>
      </c>
    </row>
    <row r="170" spans="1:5" x14ac:dyDescent="0.3">
      <c r="A170" s="29" t="s">
        <v>360</v>
      </c>
      <c r="B170" s="17">
        <v>5612</v>
      </c>
      <c r="C170" s="16">
        <v>787.66624199700004</v>
      </c>
      <c r="D170" s="17">
        <v>8498</v>
      </c>
      <c r="E170" s="31">
        <v>885.95222368899999</v>
      </c>
    </row>
    <row r="171" spans="1:5" x14ac:dyDescent="0.3">
      <c r="A171" s="29" t="s">
        <v>361</v>
      </c>
      <c r="B171" s="17">
        <v>2</v>
      </c>
      <c r="C171" s="16">
        <v>4.1111099999999998E-2</v>
      </c>
      <c r="D171" s="17">
        <v>6</v>
      </c>
      <c r="E171" s="31">
        <v>0.31524351099999998</v>
      </c>
    </row>
    <row r="172" spans="1:5" x14ac:dyDescent="0.3">
      <c r="A172" s="29" t="s">
        <v>362</v>
      </c>
      <c r="B172" s="17">
        <v>206</v>
      </c>
      <c r="C172" s="16">
        <v>10071.425439006</v>
      </c>
      <c r="D172" s="17">
        <v>198</v>
      </c>
      <c r="E172" s="31">
        <v>9116.7044682609994</v>
      </c>
    </row>
    <row r="173" spans="1:5" x14ac:dyDescent="0.3">
      <c r="A173" s="29" t="s">
        <v>363</v>
      </c>
      <c r="B173" s="17">
        <v>1544</v>
      </c>
      <c r="C173" s="16">
        <v>450.21672267500003</v>
      </c>
      <c r="D173" s="17">
        <v>3134</v>
      </c>
      <c r="E173" s="31">
        <v>261.24965022600003</v>
      </c>
    </row>
    <row r="174" spans="1:5" x14ac:dyDescent="0.3">
      <c r="A174" s="29" t="s">
        <v>364</v>
      </c>
      <c r="B174" s="17">
        <v>13088</v>
      </c>
      <c r="C174" s="16">
        <v>1519.5646042440001</v>
      </c>
      <c r="D174" s="17">
        <v>21733</v>
      </c>
      <c r="E174" s="31">
        <v>1941.727736953</v>
      </c>
    </row>
    <row r="175" spans="1:5" x14ac:dyDescent="0.3">
      <c r="A175" s="29" t="s">
        <v>365</v>
      </c>
      <c r="B175" s="17">
        <v>445</v>
      </c>
      <c r="C175" s="16">
        <v>367673.08515272598</v>
      </c>
      <c r="D175" s="17">
        <v>479</v>
      </c>
      <c r="E175" s="31">
        <v>370361.84380012599</v>
      </c>
    </row>
    <row r="176" spans="1:5" x14ac:dyDescent="0.3">
      <c r="A176" s="29" t="s">
        <v>366</v>
      </c>
      <c r="B176" s="17">
        <v>24105</v>
      </c>
      <c r="C176" s="16">
        <v>3494.53111575</v>
      </c>
      <c r="D176" s="17">
        <v>25435</v>
      </c>
      <c r="E176" s="31">
        <v>3401.4394510239999</v>
      </c>
    </row>
    <row r="177" spans="1:5" x14ac:dyDescent="0.3">
      <c r="A177" s="29" t="s">
        <v>367</v>
      </c>
      <c r="B177" s="17">
        <v>398</v>
      </c>
      <c r="C177" s="16">
        <v>125.508618254</v>
      </c>
      <c r="D177" s="17">
        <v>598</v>
      </c>
      <c r="E177" s="31">
        <v>162.52417763</v>
      </c>
    </row>
    <row r="178" spans="1:5" x14ac:dyDescent="0.3">
      <c r="A178" s="29" t="s">
        <v>368</v>
      </c>
      <c r="B178" s="17">
        <v>380</v>
      </c>
      <c r="C178" s="16">
        <v>32.409760226000003</v>
      </c>
      <c r="D178" s="17">
        <v>992</v>
      </c>
      <c r="E178" s="31">
        <v>247.90101319300001</v>
      </c>
    </row>
    <row r="179" spans="1:5" x14ac:dyDescent="0.3">
      <c r="A179" s="29" t="s">
        <v>369</v>
      </c>
      <c r="B179" s="17">
        <v>1582</v>
      </c>
      <c r="C179" s="16">
        <v>249.90707854499999</v>
      </c>
      <c r="D179" s="17">
        <v>2002</v>
      </c>
      <c r="E179" s="31">
        <v>291.98276484299998</v>
      </c>
    </row>
    <row r="180" spans="1:5" x14ac:dyDescent="0.3">
      <c r="A180" s="29" t="s">
        <v>370</v>
      </c>
      <c r="B180" s="17">
        <v>18121</v>
      </c>
      <c r="C180" s="16">
        <v>6715.3063984609998</v>
      </c>
      <c r="D180" s="17">
        <v>34812</v>
      </c>
      <c r="E180" s="31">
        <v>6997.7577272210001</v>
      </c>
    </row>
    <row r="181" spans="1:5" x14ac:dyDescent="0.3">
      <c r="A181" s="29" t="s">
        <v>371</v>
      </c>
      <c r="B181" s="17">
        <v>170</v>
      </c>
      <c r="C181" s="16">
        <v>128.59634164900001</v>
      </c>
      <c r="D181" s="17">
        <v>100</v>
      </c>
      <c r="E181" s="31">
        <v>11.573363175000001</v>
      </c>
    </row>
    <row r="182" spans="1:5" x14ac:dyDescent="0.3">
      <c r="A182" s="29" t="s">
        <v>372</v>
      </c>
      <c r="B182" s="17">
        <v>1364</v>
      </c>
      <c r="C182" s="16">
        <v>114.79659313800001</v>
      </c>
      <c r="D182" s="17">
        <v>2653</v>
      </c>
      <c r="E182" s="31">
        <v>199.64845782200001</v>
      </c>
    </row>
    <row r="183" spans="1:5" x14ac:dyDescent="0.3">
      <c r="A183" s="29" t="s">
        <v>373</v>
      </c>
      <c r="B183" s="17">
        <v>2108</v>
      </c>
      <c r="C183" s="16">
        <v>182.86560644100001</v>
      </c>
      <c r="D183" s="17">
        <v>3693</v>
      </c>
      <c r="E183" s="31">
        <v>893.88117270999999</v>
      </c>
    </row>
    <row r="184" spans="1:5" x14ac:dyDescent="0.3">
      <c r="A184" s="29" t="s">
        <v>374</v>
      </c>
      <c r="B184" s="17">
        <v>171062</v>
      </c>
      <c r="C184" s="16">
        <v>198815.97020124199</v>
      </c>
      <c r="D184" s="17">
        <v>72132</v>
      </c>
      <c r="E184" s="31">
        <v>190216.53788224101</v>
      </c>
    </row>
    <row r="185" spans="1:5" x14ac:dyDescent="0.3">
      <c r="A185" s="29" t="s">
        <v>375</v>
      </c>
      <c r="B185" s="17">
        <v>1997</v>
      </c>
      <c r="C185" s="16">
        <v>747.92020743600006</v>
      </c>
      <c r="D185" s="17">
        <v>2649</v>
      </c>
      <c r="E185" s="31">
        <v>692.952358011</v>
      </c>
    </row>
    <row r="186" spans="1:5" x14ac:dyDescent="0.3">
      <c r="A186" s="29" t="s">
        <v>376</v>
      </c>
      <c r="B186" s="17">
        <v>38366</v>
      </c>
      <c r="C186" s="16">
        <v>7864.6487309590002</v>
      </c>
      <c r="D186" s="17">
        <v>73178</v>
      </c>
      <c r="E186" s="31">
        <v>9900.5541839390007</v>
      </c>
    </row>
    <row r="187" spans="1:5" x14ac:dyDescent="0.3">
      <c r="A187" s="29" t="s">
        <v>377</v>
      </c>
      <c r="B187" s="17">
        <v>18137</v>
      </c>
      <c r="C187" s="16">
        <v>2578.6514059000001</v>
      </c>
      <c r="D187" s="17">
        <v>22221</v>
      </c>
      <c r="E187" s="31">
        <v>3551.967092543</v>
      </c>
    </row>
    <row r="188" spans="1:5" x14ac:dyDescent="0.3">
      <c r="A188" s="29" t="s">
        <v>378</v>
      </c>
      <c r="B188" s="17">
        <v>2391</v>
      </c>
      <c r="C188" s="16">
        <v>375.06238873900003</v>
      </c>
      <c r="D188" s="17">
        <v>3035</v>
      </c>
      <c r="E188" s="31">
        <v>456.34423037400001</v>
      </c>
    </row>
    <row r="189" spans="1:5" x14ac:dyDescent="0.3">
      <c r="A189" s="29" t="s">
        <v>379</v>
      </c>
      <c r="B189" s="17">
        <v>1609</v>
      </c>
      <c r="C189" s="16">
        <v>511.85306841699997</v>
      </c>
      <c r="D189" s="17">
        <v>2604</v>
      </c>
      <c r="E189" s="31">
        <v>659.60771290299999</v>
      </c>
    </row>
    <row r="190" spans="1:5" x14ac:dyDescent="0.3">
      <c r="A190" s="29" t="s">
        <v>380</v>
      </c>
      <c r="B190" s="17">
        <v>420</v>
      </c>
      <c r="C190" s="16">
        <v>24.361300441000001</v>
      </c>
      <c r="D190" s="17">
        <v>729</v>
      </c>
      <c r="E190" s="31">
        <v>35.872409515000001</v>
      </c>
    </row>
    <row r="191" spans="1:5" x14ac:dyDescent="0.3">
      <c r="A191" s="29" t="s">
        <v>381</v>
      </c>
      <c r="B191" s="17">
        <v>2806</v>
      </c>
      <c r="C191" s="16">
        <v>345.79684077600001</v>
      </c>
      <c r="D191" s="17">
        <v>5305</v>
      </c>
      <c r="E191" s="31">
        <v>455.13333539799999</v>
      </c>
    </row>
    <row r="192" spans="1:5" x14ac:dyDescent="0.3">
      <c r="A192" s="29" t="s">
        <v>382</v>
      </c>
      <c r="B192" s="17">
        <v>387</v>
      </c>
      <c r="C192" s="16">
        <v>5417.1218799050002</v>
      </c>
      <c r="D192" s="17">
        <v>798</v>
      </c>
      <c r="E192" s="31">
        <v>6666.8957115519997</v>
      </c>
    </row>
    <row r="193" spans="1:5" x14ac:dyDescent="0.3">
      <c r="A193" s="29" t="s">
        <v>383</v>
      </c>
      <c r="B193" s="17">
        <v>664</v>
      </c>
      <c r="C193" s="16">
        <v>194.32491003199999</v>
      </c>
      <c r="D193" s="17">
        <v>1489</v>
      </c>
      <c r="E193" s="31">
        <v>312.00127966399998</v>
      </c>
    </row>
    <row r="194" spans="1:5" x14ac:dyDescent="0.3">
      <c r="A194" s="29" t="s">
        <v>384</v>
      </c>
      <c r="B194" s="17">
        <v>33224</v>
      </c>
      <c r="C194" s="16">
        <v>3984.1091288110001</v>
      </c>
      <c r="D194" s="17">
        <v>48294</v>
      </c>
      <c r="E194" s="31">
        <v>4520.2624093590002</v>
      </c>
    </row>
    <row r="195" spans="1:5" x14ac:dyDescent="0.3">
      <c r="A195" s="29" t="s">
        <v>385</v>
      </c>
      <c r="B195" s="17">
        <v>2998</v>
      </c>
      <c r="C195" s="16">
        <v>9774.9325185430007</v>
      </c>
      <c r="D195" s="17">
        <v>1622</v>
      </c>
      <c r="E195" s="31">
        <v>9172.0556466279995</v>
      </c>
    </row>
    <row r="196" spans="1:5" x14ac:dyDescent="0.3">
      <c r="A196" s="29" t="s">
        <v>386</v>
      </c>
      <c r="B196" s="17">
        <v>913</v>
      </c>
      <c r="C196" s="16">
        <v>93.423851204000002</v>
      </c>
      <c r="D196" s="17">
        <v>2221</v>
      </c>
      <c r="E196" s="31">
        <v>191.31521144800001</v>
      </c>
    </row>
    <row r="197" spans="1:5" x14ac:dyDescent="0.3">
      <c r="A197" s="29" t="s">
        <v>387</v>
      </c>
      <c r="B197" s="17">
        <v>443</v>
      </c>
      <c r="C197" s="16">
        <v>838.84447291499998</v>
      </c>
      <c r="D197" s="17">
        <v>283</v>
      </c>
      <c r="E197" s="31">
        <v>867.71465430000001</v>
      </c>
    </row>
    <row r="198" spans="1:5" x14ac:dyDescent="0.3">
      <c r="A198" s="29" t="s">
        <v>388</v>
      </c>
      <c r="B198" s="17">
        <v>182</v>
      </c>
      <c r="C198" s="16">
        <v>13.356354100000001</v>
      </c>
      <c r="D198" s="17">
        <v>493</v>
      </c>
      <c r="E198" s="31">
        <v>32.883562666000003</v>
      </c>
    </row>
    <row r="199" spans="1:5" x14ac:dyDescent="0.3">
      <c r="A199" s="29" t="s">
        <v>389</v>
      </c>
      <c r="B199" s="17">
        <v>7261</v>
      </c>
      <c r="C199" s="16">
        <v>1471.2781779469999</v>
      </c>
      <c r="D199" s="17">
        <v>10917</v>
      </c>
      <c r="E199" s="31">
        <v>1751.6714714039999</v>
      </c>
    </row>
    <row r="200" spans="1:5" x14ac:dyDescent="0.3">
      <c r="A200" s="29" t="s">
        <v>390</v>
      </c>
      <c r="B200" s="17">
        <v>550</v>
      </c>
      <c r="C200" s="16">
        <v>40.850640665999997</v>
      </c>
      <c r="D200" s="17">
        <v>1058</v>
      </c>
      <c r="E200" s="31">
        <v>84.346683911</v>
      </c>
    </row>
    <row r="201" spans="1:5" x14ac:dyDescent="0.3">
      <c r="A201" s="29" t="s">
        <v>391</v>
      </c>
      <c r="B201" s="17">
        <v>1521</v>
      </c>
      <c r="C201" s="16">
        <v>97.594143661000004</v>
      </c>
      <c r="D201" s="17">
        <v>1520</v>
      </c>
      <c r="E201" s="31">
        <v>384.01590351999999</v>
      </c>
    </row>
    <row r="202" spans="1:5" x14ac:dyDescent="0.3">
      <c r="A202" s="29" t="s">
        <v>392</v>
      </c>
      <c r="B202" s="17">
        <v>1194</v>
      </c>
      <c r="C202" s="16">
        <v>119.845610561</v>
      </c>
      <c r="D202" s="17">
        <v>2482</v>
      </c>
      <c r="E202" s="31">
        <v>262.34028384700002</v>
      </c>
    </row>
    <row r="203" spans="1:5" x14ac:dyDescent="0.3">
      <c r="A203" s="29" t="s">
        <v>393</v>
      </c>
      <c r="B203" s="17">
        <v>745</v>
      </c>
      <c r="C203" s="16">
        <v>171.64310658299999</v>
      </c>
      <c r="D203" s="17">
        <v>1546</v>
      </c>
      <c r="E203" s="31">
        <v>171.0494942</v>
      </c>
    </row>
    <row r="204" spans="1:5" x14ac:dyDescent="0.3">
      <c r="A204" s="29" t="s">
        <v>394</v>
      </c>
      <c r="B204" s="17">
        <v>152</v>
      </c>
      <c r="C204" s="16">
        <v>980.5973692</v>
      </c>
      <c r="D204" s="17">
        <v>454</v>
      </c>
      <c r="E204" s="31">
        <v>1100.8390488120001</v>
      </c>
    </row>
    <row r="205" spans="1:5" x14ac:dyDescent="0.3">
      <c r="A205" s="29" t="s">
        <v>395</v>
      </c>
      <c r="B205" s="17">
        <v>581</v>
      </c>
      <c r="C205" s="16">
        <v>43.016801006000001</v>
      </c>
      <c r="D205" s="17">
        <v>1369</v>
      </c>
      <c r="E205" s="31">
        <v>103.0431944</v>
      </c>
    </row>
    <row r="206" spans="1:5" x14ac:dyDescent="0.3">
      <c r="A206" s="29" t="s">
        <v>396</v>
      </c>
      <c r="B206" s="17">
        <v>1388</v>
      </c>
      <c r="C206" s="16">
        <v>2960.2408331080001</v>
      </c>
      <c r="D206" s="17">
        <v>4428</v>
      </c>
      <c r="E206" s="31">
        <v>3228.1162872569998</v>
      </c>
    </row>
    <row r="207" spans="1:5" x14ac:dyDescent="0.3">
      <c r="A207" s="29" t="s">
        <v>397</v>
      </c>
      <c r="B207" s="17">
        <v>503</v>
      </c>
      <c r="C207" s="16">
        <v>43.460084801999997</v>
      </c>
      <c r="D207" s="17">
        <v>668</v>
      </c>
      <c r="E207" s="31">
        <v>51.029533981999997</v>
      </c>
    </row>
    <row r="208" spans="1:5" x14ac:dyDescent="0.3">
      <c r="A208" s="29" t="s">
        <v>398</v>
      </c>
      <c r="B208" s="17">
        <v>48956</v>
      </c>
      <c r="C208" s="16">
        <v>10199.866269651</v>
      </c>
      <c r="D208" s="17">
        <v>46718</v>
      </c>
      <c r="E208" s="31">
        <v>10500.107000427</v>
      </c>
    </row>
    <row r="209" spans="1:5" x14ac:dyDescent="0.3">
      <c r="A209" s="29" t="s">
        <v>399</v>
      </c>
      <c r="B209" s="17">
        <v>2</v>
      </c>
      <c r="C209" s="16">
        <v>20</v>
      </c>
      <c r="D209" s="17">
        <v>0</v>
      </c>
      <c r="E209" s="31">
        <v>0</v>
      </c>
    </row>
    <row r="210" spans="1:5" x14ac:dyDescent="0.3">
      <c r="A210" s="29" t="s">
        <v>400</v>
      </c>
      <c r="B210" s="17">
        <v>239</v>
      </c>
      <c r="C210" s="16">
        <v>25.239144447000001</v>
      </c>
      <c r="D210" s="17">
        <v>390</v>
      </c>
      <c r="E210" s="31">
        <v>20.619210089999999</v>
      </c>
    </row>
    <row r="211" spans="1:5" x14ac:dyDescent="0.3">
      <c r="A211" s="29" t="s">
        <v>401</v>
      </c>
      <c r="B211" s="17">
        <v>321</v>
      </c>
      <c r="C211" s="16">
        <v>84.459732852000002</v>
      </c>
      <c r="D211" s="17">
        <v>657</v>
      </c>
      <c r="E211" s="31">
        <v>136.05551802799999</v>
      </c>
    </row>
    <row r="212" spans="1:5" x14ac:dyDescent="0.3">
      <c r="A212" s="29" t="s">
        <v>402</v>
      </c>
      <c r="B212" s="17">
        <v>3311</v>
      </c>
      <c r="C212" s="16">
        <v>2394.6130298869998</v>
      </c>
      <c r="D212" s="17">
        <v>4904</v>
      </c>
      <c r="E212" s="31">
        <v>2430.3294669400002</v>
      </c>
    </row>
    <row r="213" spans="1:5" x14ac:dyDescent="0.3">
      <c r="A213" s="29" t="s">
        <v>403</v>
      </c>
      <c r="B213" s="17">
        <v>8344</v>
      </c>
      <c r="C213" s="16">
        <v>851.46021282100003</v>
      </c>
      <c r="D213" s="17">
        <v>11096</v>
      </c>
      <c r="E213" s="31">
        <v>1158.9171989880001</v>
      </c>
    </row>
    <row r="214" spans="1:5" x14ac:dyDescent="0.3">
      <c r="A214" s="29" t="s">
        <v>404</v>
      </c>
      <c r="B214" s="17">
        <v>2993</v>
      </c>
      <c r="C214" s="16">
        <v>256.07319571699998</v>
      </c>
      <c r="D214" s="17">
        <v>3500</v>
      </c>
      <c r="E214" s="31">
        <v>394.36998911699999</v>
      </c>
    </row>
    <row r="215" spans="1:5" x14ac:dyDescent="0.3">
      <c r="A215" s="29" t="s">
        <v>405</v>
      </c>
      <c r="B215" s="17">
        <v>4064</v>
      </c>
      <c r="C215" s="16">
        <v>5094.274962513</v>
      </c>
      <c r="D215" s="17">
        <v>8557</v>
      </c>
      <c r="E215" s="31">
        <v>5653.7054307030003</v>
      </c>
    </row>
    <row r="216" spans="1:5" x14ac:dyDescent="0.3">
      <c r="A216" s="29" t="s">
        <v>406</v>
      </c>
      <c r="B216" s="17">
        <v>268</v>
      </c>
      <c r="C216" s="16">
        <v>16.891551751000002</v>
      </c>
      <c r="D216" s="17">
        <v>880</v>
      </c>
      <c r="E216" s="31">
        <v>56.030627142999997</v>
      </c>
    </row>
    <row r="217" spans="1:5" x14ac:dyDescent="0.3">
      <c r="A217" s="29" t="s">
        <v>407</v>
      </c>
      <c r="B217" s="17">
        <v>3750</v>
      </c>
      <c r="C217" s="16">
        <v>380.01651611599999</v>
      </c>
      <c r="D217" s="17">
        <v>3458</v>
      </c>
      <c r="E217" s="31">
        <v>382.36445615000002</v>
      </c>
    </row>
    <row r="218" spans="1:5" x14ac:dyDescent="0.3">
      <c r="A218" s="29" t="s">
        <v>408</v>
      </c>
      <c r="B218" s="17">
        <v>723</v>
      </c>
      <c r="C218" s="16">
        <v>75.141384517000006</v>
      </c>
      <c r="D218" s="17">
        <v>1555</v>
      </c>
      <c r="E218" s="31">
        <v>129.61924589</v>
      </c>
    </row>
    <row r="219" spans="1:5" x14ac:dyDescent="0.3">
      <c r="A219" s="29" t="s">
        <v>409</v>
      </c>
      <c r="B219" s="17">
        <v>1975</v>
      </c>
      <c r="C219" s="16">
        <v>600.07503758300004</v>
      </c>
      <c r="D219" s="17">
        <v>3090</v>
      </c>
      <c r="E219" s="31">
        <v>725.311905572</v>
      </c>
    </row>
    <row r="220" spans="1:5" x14ac:dyDescent="0.3">
      <c r="A220" s="29" t="s">
        <v>410</v>
      </c>
      <c r="B220" s="17">
        <v>2129</v>
      </c>
      <c r="C220" s="16">
        <v>1961.0362948029999</v>
      </c>
      <c r="D220" s="17">
        <v>6738</v>
      </c>
      <c r="E220" s="31">
        <v>2463.6680690399999</v>
      </c>
    </row>
    <row r="221" spans="1:5" x14ac:dyDescent="0.3">
      <c r="A221" s="29" t="s">
        <v>411</v>
      </c>
      <c r="B221" s="17">
        <v>718</v>
      </c>
      <c r="C221" s="16">
        <v>1850.9128448880001</v>
      </c>
      <c r="D221" s="17">
        <v>879</v>
      </c>
      <c r="E221" s="31">
        <v>1878.526611407</v>
      </c>
    </row>
    <row r="222" spans="1:5" x14ac:dyDescent="0.3">
      <c r="A222" s="29" t="s">
        <v>412</v>
      </c>
      <c r="B222" s="17">
        <v>780</v>
      </c>
      <c r="C222" s="16">
        <v>585.539942279</v>
      </c>
      <c r="D222" s="17">
        <v>2942</v>
      </c>
      <c r="E222" s="31">
        <v>608.26197170800003</v>
      </c>
    </row>
    <row r="223" spans="1:5" x14ac:dyDescent="0.3">
      <c r="A223" s="29" t="s">
        <v>413</v>
      </c>
      <c r="B223" s="17">
        <v>12381</v>
      </c>
      <c r="C223" s="16">
        <v>1837.0772090830001</v>
      </c>
      <c r="D223" s="17">
        <v>17557</v>
      </c>
      <c r="E223" s="31">
        <v>2114.3571882229999</v>
      </c>
    </row>
    <row r="224" spans="1:5" x14ac:dyDescent="0.3">
      <c r="A224" s="29" t="s">
        <v>414</v>
      </c>
      <c r="B224" s="17">
        <v>986</v>
      </c>
      <c r="C224" s="16">
        <v>224.250891166</v>
      </c>
      <c r="D224" s="17">
        <v>1651</v>
      </c>
      <c r="E224" s="31">
        <v>188.496534295</v>
      </c>
    </row>
    <row r="225" spans="1:5" x14ac:dyDescent="0.3">
      <c r="A225" s="29" t="s">
        <v>212</v>
      </c>
      <c r="B225" s="17">
        <v>88804</v>
      </c>
      <c r="C225" s="16">
        <v>27871.411476542999</v>
      </c>
      <c r="D225" s="17">
        <v>157339</v>
      </c>
      <c r="E225" s="31">
        <v>28896.134285346001</v>
      </c>
    </row>
    <row r="226" spans="1:5" x14ac:dyDescent="0.3">
      <c r="A226" s="29" t="s">
        <v>415</v>
      </c>
      <c r="B226" s="17">
        <v>11293</v>
      </c>
      <c r="C226" s="16">
        <v>3945.5156893620001</v>
      </c>
      <c r="D226" s="17">
        <v>14203</v>
      </c>
      <c r="E226" s="31">
        <v>4498.9352537240002</v>
      </c>
    </row>
    <row r="227" spans="1:5" x14ac:dyDescent="0.3">
      <c r="A227" s="29" t="s">
        <v>416</v>
      </c>
      <c r="B227" s="17">
        <v>23</v>
      </c>
      <c r="C227" s="16">
        <v>505.48899930200002</v>
      </c>
      <c r="D227" s="17">
        <v>15</v>
      </c>
      <c r="E227" s="31">
        <v>565.512630855</v>
      </c>
    </row>
    <row r="228" spans="1:5" x14ac:dyDescent="0.3">
      <c r="A228" s="29" t="s">
        <v>214</v>
      </c>
      <c r="B228" s="17">
        <v>553351</v>
      </c>
      <c r="C228" s="16">
        <v>155258.10805121699</v>
      </c>
      <c r="D228" s="17">
        <v>793814</v>
      </c>
      <c r="E228" s="31">
        <v>183302.01588861499</v>
      </c>
    </row>
    <row r="229" spans="1:5" x14ac:dyDescent="0.3">
      <c r="A229" s="29" t="s">
        <v>417</v>
      </c>
      <c r="B229" s="17">
        <v>27414</v>
      </c>
      <c r="C229" s="16">
        <v>2769.2211187779999</v>
      </c>
      <c r="D229" s="17">
        <v>41</v>
      </c>
      <c r="E229" s="31">
        <v>6469.3210197520002</v>
      </c>
    </row>
    <row r="230" spans="1:5" x14ac:dyDescent="0.3">
      <c r="A230" s="29" t="s">
        <v>418</v>
      </c>
      <c r="B230" s="17">
        <v>27702</v>
      </c>
      <c r="C230" s="16">
        <v>4781.0563064400003</v>
      </c>
      <c r="D230" s="17">
        <v>46</v>
      </c>
      <c r="E230" s="31">
        <v>7993.4405029319996</v>
      </c>
    </row>
    <row r="231" spans="1:5" x14ac:dyDescent="0.3">
      <c r="A231" s="29" t="s">
        <v>419</v>
      </c>
      <c r="B231" s="17">
        <v>119</v>
      </c>
      <c r="C231" s="16">
        <v>10.157306820000001</v>
      </c>
      <c r="D231" s="17">
        <v>0</v>
      </c>
      <c r="E231" s="31">
        <v>0</v>
      </c>
    </row>
    <row r="232" spans="1:5" x14ac:dyDescent="0.3">
      <c r="A232" s="29" t="s">
        <v>216</v>
      </c>
      <c r="B232" s="17">
        <v>4584</v>
      </c>
      <c r="C232" s="16">
        <v>1641.2803410030001</v>
      </c>
      <c r="D232" s="17">
        <v>4696</v>
      </c>
      <c r="E232" s="31">
        <v>1318.6857248880001</v>
      </c>
    </row>
    <row r="233" spans="1:5" x14ac:dyDescent="0.3">
      <c r="A233" s="29" t="s">
        <v>420</v>
      </c>
      <c r="B233" s="17">
        <v>1428</v>
      </c>
      <c r="C233" s="16">
        <v>1412.8335450950001</v>
      </c>
      <c r="D233" s="17">
        <v>5729</v>
      </c>
      <c r="E233" s="31">
        <v>918.71427832799998</v>
      </c>
    </row>
    <row r="234" spans="1:5" x14ac:dyDescent="0.3">
      <c r="A234" s="29" t="s">
        <v>421</v>
      </c>
      <c r="B234" s="17">
        <v>334</v>
      </c>
      <c r="C234" s="16">
        <v>23.978952147000001</v>
      </c>
      <c r="D234" s="17">
        <v>599</v>
      </c>
      <c r="E234" s="31">
        <v>54.313816394</v>
      </c>
    </row>
    <row r="235" spans="1:5" x14ac:dyDescent="0.3">
      <c r="A235" s="29" t="s">
        <v>422</v>
      </c>
      <c r="B235" s="17">
        <v>884</v>
      </c>
      <c r="C235" s="16">
        <v>551.50790769599996</v>
      </c>
      <c r="D235" s="17">
        <v>2081</v>
      </c>
      <c r="E235" s="31">
        <v>610.27217764299996</v>
      </c>
    </row>
    <row r="236" spans="1:5" x14ac:dyDescent="0.3">
      <c r="A236" s="29" t="s">
        <v>221</v>
      </c>
      <c r="B236" s="17">
        <v>575</v>
      </c>
      <c r="C236" s="16">
        <v>1238.5416786430001</v>
      </c>
      <c r="D236" s="17">
        <v>374</v>
      </c>
      <c r="E236" s="31">
        <v>1708.4273366269999</v>
      </c>
    </row>
    <row r="237" spans="1:5" x14ac:dyDescent="0.3">
      <c r="A237" s="29" t="s">
        <v>423</v>
      </c>
      <c r="B237" s="17">
        <v>376913</v>
      </c>
      <c r="C237" s="16">
        <v>163441.80353717</v>
      </c>
      <c r="D237" s="17">
        <v>375290</v>
      </c>
      <c r="E237" s="31">
        <v>134416.07082818</v>
      </c>
    </row>
    <row r="238" spans="1:5" x14ac:dyDescent="0.3">
      <c r="A238" s="29" t="s">
        <v>223</v>
      </c>
      <c r="B238" s="17">
        <v>462</v>
      </c>
      <c r="C238" s="16">
        <v>73.073996911999998</v>
      </c>
      <c r="D238" s="17">
        <v>649</v>
      </c>
      <c r="E238" s="31">
        <v>195.16630660199999</v>
      </c>
    </row>
    <row r="239" spans="1:5" x14ac:dyDescent="0.3">
      <c r="B239" s="14"/>
      <c r="C239" s="15"/>
      <c r="D239" s="14"/>
    </row>
  </sheetData>
  <pageMargins left="0.06" right="0" top="7.874015748031496E-2" bottom="7.874015748031496E-2" header="3.937007874015748E-2" footer="7.874015748031496E-2"/>
  <pageSetup scale="80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5"/>
  <sheetViews>
    <sheetView topLeftCell="A418" workbookViewId="0">
      <selection activeCell="A429" sqref="A426:XFD429"/>
    </sheetView>
  </sheetViews>
  <sheetFormatPr defaultColWidth="9.109375" defaultRowHeight="13.2" x14ac:dyDescent="0.25"/>
  <cols>
    <col min="1" max="1" width="85" style="20" customWidth="1"/>
    <col min="2" max="2" width="20.109375" style="20" bestFit="1" customWidth="1"/>
    <col min="3" max="3" width="20.5546875" style="20" bestFit="1" customWidth="1"/>
    <col min="4" max="16384" width="9.109375" style="20"/>
  </cols>
  <sheetData>
    <row r="1" spans="1:3" x14ac:dyDescent="0.25">
      <c r="A1" s="48" t="s">
        <v>830</v>
      </c>
      <c r="B1" s="49" t="s">
        <v>829</v>
      </c>
      <c r="C1" s="50" t="s">
        <v>828</v>
      </c>
    </row>
    <row r="2" spans="1:3" x14ac:dyDescent="0.25">
      <c r="A2" s="32" t="s">
        <v>827</v>
      </c>
      <c r="B2" s="19">
        <v>13293</v>
      </c>
      <c r="C2" s="46">
        <v>431780.85</v>
      </c>
    </row>
    <row r="3" spans="1:3" x14ac:dyDescent="0.25">
      <c r="A3" s="32" t="s">
        <v>826</v>
      </c>
      <c r="B3" s="19">
        <v>1537</v>
      </c>
      <c r="C3" s="46">
        <v>52852.62</v>
      </c>
    </row>
    <row r="4" spans="1:3" x14ac:dyDescent="0.25">
      <c r="A4" s="33" t="s">
        <v>825</v>
      </c>
      <c r="B4" s="19">
        <v>3824</v>
      </c>
      <c r="C4" s="46">
        <v>70279.418999999994</v>
      </c>
    </row>
    <row r="5" spans="1:3" x14ac:dyDescent="0.25">
      <c r="A5" s="32" t="s">
        <v>824</v>
      </c>
      <c r="B5" s="19">
        <v>2254609</v>
      </c>
      <c r="C5" s="46">
        <v>5187528.7854800001</v>
      </c>
    </row>
    <row r="6" spans="1:3" x14ac:dyDescent="0.25">
      <c r="A6" s="32" t="s">
        <v>823</v>
      </c>
      <c r="B6" s="19">
        <v>0</v>
      </c>
      <c r="C6" s="46">
        <v>0</v>
      </c>
    </row>
    <row r="7" spans="1:3" x14ac:dyDescent="0.25">
      <c r="A7" s="33" t="s">
        <v>822</v>
      </c>
      <c r="B7" s="19">
        <v>146240</v>
      </c>
      <c r="C7" s="46">
        <v>2273560.3609799999</v>
      </c>
    </row>
    <row r="8" spans="1:3" x14ac:dyDescent="0.25">
      <c r="A8" s="32" t="s">
        <v>821</v>
      </c>
      <c r="B8" s="19">
        <v>1899</v>
      </c>
      <c r="C8" s="46">
        <v>58953.887799999997</v>
      </c>
    </row>
    <row r="9" spans="1:3" x14ac:dyDescent="0.25">
      <c r="A9" s="32" t="s">
        <v>820</v>
      </c>
      <c r="B9" s="19">
        <v>12246</v>
      </c>
      <c r="C9" s="46">
        <v>388980.91553999996</v>
      </c>
    </row>
    <row r="10" spans="1:3" x14ac:dyDescent="0.25">
      <c r="A10" s="33" t="s">
        <v>819</v>
      </c>
      <c r="B10" s="19">
        <v>2444</v>
      </c>
      <c r="C10" s="46">
        <v>26128.975999999999</v>
      </c>
    </row>
    <row r="11" spans="1:3" x14ac:dyDescent="0.25">
      <c r="A11" s="33" t="s">
        <v>812</v>
      </c>
      <c r="B11" s="19">
        <v>55033217</v>
      </c>
      <c r="C11" s="46">
        <v>75926761.724989995</v>
      </c>
    </row>
    <row r="12" spans="1:3" x14ac:dyDescent="0.25">
      <c r="A12" s="33" t="s">
        <v>818</v>
      </c>
      <c r="B12" s="19">
        <v>8846</v>
      </c>
      <c r="C12" s="46">
        <v>239415.59828000001</v>
      </c>
    </row>
    <row r="13" spans="1:3" x14ac:dyDescent="0.25">
      <c r="A13" s="32" t="s">
        <v>815</v>
      </c>
      <c r="B13" s="19">
        <v>2891</v>
      </c>
      <c r="C13" s="46">
        <v>82091.798680000007</v>
      </c>
    </row>
    <row r="14" spans="1:3" x14ac:dyDescent="0.25">
      <c r="A14" s="32" t="s">
        <v>816</v>
      </c>
      <c r="B14" s="19">
        <v>10524</v>
      </c>
      <c r="C14" s="46">
        <v>189317.00399999999</v>
      </c>
    </row>
    <row r="15" spans="1:3" x14ac:dyDescent="0.25">
      <c r="A15" s="32" t="s">
        <v>814</v>
      </c>
      <c r="B15" s="19">
        <v>13147</v>
      </c>
      <c r="C15" s="46">
        <v>596713.44828999997</v>
      </c>
    </row>
    <row r="16" spans="1:3" x14ac:dyDescent="0.25">
      <c r="A16" s="34" t="s">
        <v>436</v>
      </c>
      <c r="B16" s="19">
        <v>532</v>
      </c>
      <c r="C16" s="46">
        <v>68615.573999999993</v>
      </c>
    </row>
    <row r="17" spans="1:3" x14ac:dyDescent="0.25">
      <c r="A17" s="32" t="s">
        <v>231</v>
      </c>
      <c r="B17" s="19">
        <v>127358</v>
      </c>
      <c r="C17" s="46">
        <v>2705968.4609439997</v>
      </c>
    </row>
    <row r="18" spans="1:3" x14ac:dyDescent="0.25">
      <c r="A18" s="32" t="s">
        <v>813</v>
      </c>
      <c r="B18" s="19">
        <v>208858</v>
      </c>
      <c r="C18" s="46">
        <v>1540232.5007799999</v>
      </c>
    </row>
    <row r="19" spans="1:3" x14ac:dyDescent="0.25">
      <c r="A19" s="34" t="s">
        <v>428</v>
      </c>
      <c r="B19" s="19">
        <v>9013</v>
      </c>
      <c r="C19" s="46">
        <v>299013.58367999998</v>
      </c>
    </row>
    <row r="20" spans="1:3" x14ac:dyDescent="0.25">
      <c r="A20" s="33" t="s">
        <v>817</v>
      </c>
      <c r="B20" s="19">
        <v>0</v>
      </c>
      <c r="C20" s="46">
        <v>0</v>
      </c>
    </row>
    <row r="21" spans="1:3" x14ac:dyDescent="0.25">
      <c r="A21" s="32" t="s">
        <v>811</v>
      </c>
      <c r="B21" s="19">
        <v>331243</v>
      </c>
      <c r="C21" s="46">
        <v>509905.09730999998</v>
      </c>
    </row>
    <row r="22" spans="1:3" x14ac:dyDescent="0.25">
      <c r="A22" s="32" t="s">
        <v>810</v>
      </c>
      <c r="B22" s="19">
        <v>7459</v>
      </c>
      <c r="C22" s="46">
        <v>409338.04296000005</v>
      </c>
    </row>
    <row r="23" spans="1:3" x14ac:dyDescent="0.25">
      <c r="A23" s="32" t="s">
        <v>809</v>
      </c>
      <c r="B23" s="19">
        <v>6882074</v>
      </c>
      <c r="C23" s="46">
        <v>46275712.286029987</v>
      </c>
    </row>
    <row r="24" spans="1:3" x14ac:dyDescent="0.25">
      <c r="A24" s="32" t="s">
        <v>808</v>
      </c>
      <c r="B24" s="19">
        <v>565218189</v>
      </c>
      <c r="C24" s="46">
        <v>1264116458.6370001</v>
      </c>
    </row>
    <row r="25" spans="1:3" x14ac:dyDescent="0.25">
      <c r="A25" s="33" t="s">
        <v>807</v>
      </c>
      <c r="B25" s="19">
        <v>672</v>
      </c>
      <c r="C25" s="46">
        <v>85018.161999999997</v>
      </c>
    </row>
    <row r="26" spans="1:3" x14ac:dyDescent="0.25">
      <c r="A26" s="33" t="s">
        <v>806</v>
      </c>
      <c r="B26" s="19">
        <v>6425</v>
      </c>
      <c r="C26" s="46">
        <v>540285.16150000005</v>
      </c>
    </row>
    <row r="27" spans="1:3" x14ac:dyDescent="0.25">
      <c r="A27" s="34" t="s">
        <v>433</v>
      </c>
      <c r="B27" s="19">
        <v>19</v>
      </c>
      <c r="C27" s="46">
        <v>244.255</v>
      </c>
    </row>
    <row r="28" spans="1:3" x14ac:dyDescent="0.25">
      <c r="A28" s="32" t="s">
        <v>805</v>
      </c>
      <c r="B28" s="19">
        <v>19173</v>
      </c>
      <c r="C28" s="46">
        <v>1331422.99453</v>
      </c>
    </row>
    <row r="29" spans="1:3" x14ac:dyDescent="0.25">
      <c r="A29" s="33" t="s">
        <v>804</v>
      </c>
      <c r="B29" s="19">
        <v>13274905</v>
      </c>
      <c r="C29" s="46">
        <v>63233965.341979995</v>
      </c>
    </row>
    <row r="30" spans="1:3" x14ac:dyDescent="0.25">
      <c r="A30" s="33" t="s">
        <v>803</v>
      </c>
      <c r="B30" s="19">
        <v>82</v>
      </c>
      <c r="C30" s="46">
        <v>452.62085999999999</v>
      </c>
    </row>
    <row r="31" spans="1:3" x14ac:dyDescent="0.25">
      <c r="A31" s="32" t="s">
        <v>22</v>
      </c>
      <c r="B31" s="19">
        <v>236118471</v>
      </c>
      <c r="C31" s="46">
        <v>515983143.45445007</v>
      </c>
    </row>
    <row r="32" spans="1:3" x14ac:dyDescent="0.25">
      <c r="A32" s="33" t="s">
        <v>802</v>
      </c>
      <c r="B32" s="19">
        <v>16607218</v>
      </c>
      <c r="C32" s="46">
        <v>110750155.33267</v>
      </c>
    </row>
    <row r="33" spans="1:3" x14ac:dyDescent="0.25">
      <c r="A33" s="33" t="s">
        <v>801</v>
      </c>
      <c r="B33" s="19">
        <v>66864934</v>
      </c>
      <c r="C33" s="46">
        <v>101574737.71957003</v>
      </c>
    </row>
    <row r="34" spans="1:3" x14ac:dyDescent="0.25">
      <c r="A34" s="32" t="s">
        <v>800</v>
      </c>
      <c r="B34" s="19">
        <v>1402</v>
      </c>
      <c r="C34" s="46">
        <v>180799.8548</v>
      </c>
    </row>
    <row r="35" spans="1:3" x14ac:dyDescent="0.25">
      <c r="A35" s="33" t="s">
        <v>799</v>
      </c>
      <c r="B35" s="19">
        <v>220641</v>
      </c>
      <c r="C35" s="46">
        <v>1648688.7211499999</v>
      </c>
    </row>
    <row r="36" spans="1:3" x14ac:dyDescent="0.25">
      <c r="A36" s="33" t="s">
        <v>798</v>
      </c>
      <c r="B36" s="19">
        <v>97075</v>
      </c>
      <c r="C36" s="46">
        <v>2224403.46759</v>
      </c>
    </row>
    <row r="37" spans="1:3" x14ac:dyDescent="0.25">
      <c r="A37" s="33" t="s">
        <v>797</v>
      </c>
      <c r="B37" s="19">
        <v>9171</v>
      </c>
      <c r="C37" s="46">
        <v>96353.031819999989</v>
      </c>
    </row>
    <row r="38" spans="1:3" x14ac:dyDescent="0.25">
      <c r="A38" s="32" t="s">
        <v>796</v>
      </c>
      <c r="B38" s="19">
        <v>162546</v>
      </c>
      <c r="C38" s="46">
        <v>309593.73677999998</v>
      </c>
    </row>
    <row r="39" spans="1:3" x14ac:dyDescent="0.25">
      <c r="A39" s="32" t="s">
        <v>795</v>
      </c>
      <c r="B39" s="19">
        <v>1478995</v>
      </c>
      <c r="C39" s="46">
        <v>9185905.1081799995</v>
      </c>
    </row>
    <row r="40" spans="1:3" x14ac:dyDescent="0.25">
      <c r="A40" s="33" t="s">
        <v>793</v>
      </c>
      <c r="B40" s="19">
        <v>1790</v>
      </c>
      <c r="C40" s="46">
        <v>52300.098890000001</v>
      </c>
    </row>
    <row r="41" spans="1:3" x14ac:dyDescent="0.25">
      <c r="A41" s="35" t="s">
        <v>794</v>
      </c>
      <c r="B41" s="19">
        <v>3965</v>
      </c>
      <c r="C41" s="46">
        <v>96627.424790000005</v>
      </c>
    </row>
    <row r="42" spans="1:3" x14ac:dyDescent="0.25">
      <c r="A42" s="32" t="s">
        <v>792</v>
      </c>
      <c r="B42" s="19">
        <v>6551</v>
      </c>
      <c r="C42" s="46">
        <v>38390.746049999994</v>
      </c>
    </row>
    <row r="43" spans="1:3" x14ac:dyDescent="0.25">
      <c r="A43" s="33" t="s">
        <v>787</v>
      </c>
      <c r="B43" s="19">
        <v>8375</v>
      </c>
      <c r="C43" s="46">
        <v>58088.23047000001</v>
      </c>
    </row>
    <row r="44" spans="1:3" x14ac:dyDescent="0.25">
      <c r="A44" s="33" t="s">
        <v>791</v>
      </c>
      <c r="B44" s="19">
        <v>161333973</v>
      </c>
      <c r="C44" s="46">
        <v>390326499.46662998</v>
      </c>
    </row>
    <row r="45" spans="1:3" x14ac:dyDescent="0.25">
      <c r="A45" s="32" t="s">
        <v>790</v>
      </c>
      <c r="B45" s="19">
        <v>252152</v>
      </c>
      <c r="C45" s="46">
        <v>3537808.77722</v>
      </c>
    </row>
    <row r="46" spans="1:3" x14ac:dyDescent="0.25">
      <c r="A46" s="32" t="s">
        <v>789</v>
      </c>
      <c r="B46" s="19">
        <v>2135593</v>
      </c>
      <c r="C46" s="46">
        <v>6182254.8339900002</v>
      </c>
    </row>
    <row r="47" spans="1:3" x14ac:dyDescent="0.25">
      <c r="A47" s="33" t="s">
        <v>788</v>
      </c>
      <c r="B47" s="19">
        <v>77047586</v>
      </c>
      <c r="C47" s="46">
        <v>137617989.59510002</v>
      </c>
    </row>
    <row r="48" spans="1:3" x14ac:dyDescent="0.25">
      <c r="A48" s="33" t="s">
        <v>786</v>
      </c>
      <c r="B48" s="19">
        <v>1443869</v>
      </c>
      <c r="C48" s="46">
        <v>2530421.5043000001</v>
      </c>
    </row>
    <row r="49" spans="1:3" x14ac:dyDescent="0.25">
      <c r="A49" s="32" t="s">
        <v>785</v>
      </c>
      <c r="B49" s="19">
        <v>409</v>
      </c>
      <c r="C49" s="46">
        <v>13978.043</v>
      </c>
    </row>
    <row r="50" spans="1:3" x14ac:dyDescent="0.25">
      <c r="A50" s="32" t="s">
        <v>450</v>
      </c>
      <c r="B50" s="19">
        <v>239</v>
      </c>
      <c r="C50" s="46">
        <v>7954.3310000000001</v>
      </c>
    </row>
    <row r="51" spans="1:3" x14ac:dyDescent="0.25">
      <c r="A51" s="32" t="s">
        <v>37</v>
      </c>
      <c r="B51" s="19">
        <v>13905401</v>
      </c>
      <c r="C51" s="46">
        <v>72531842.750059992</v>
      </c>
    </row>
    <row r="52" spans="1:3" x14ac:dyDescent="0.25">
      <c r="A52" s="32" t="s">
        <v>784</v>
      </c>
      <c r="B52" s="19">
        <v>21116</v>
      </c>
      <c r="C52" s="46">
        <v>164938.49717000002</v>
      </c>
    </row>
    <row r="53" spans="1:3" x14ac:dyDescent="0.25">
      <c r="A53" s="32" t="s">
        <v>783</v>
      </c>
      <c r="B53" s="19">
        <v>6322</v>
      </c>
      <c r="C53" s="46">
        <v>589763.0368</v>
      </c>
    </row>
    <row r="54" spans="1:3" x14ac:dyDescent="0.25">
      <c r="A54" s="33" t="s">
        <v>248</v>
      </c>
      <c r="B54" s="19">
        <v>17284491</v>
      </c>
      <c r="C54" s="46">
        <v>51230580.388300002</v>
      </c>
    </row>
    <row r="55" spans="1:3" x14ac:dyDescent="0.25">
      <c r="A55" s="32" t="s">
        <v>782</v>
      </c>
      <c r="B55" s="19">
        <v>6909</v>
      </c>
      <c r="C55" s="46">
        <v>262801.11</v>
      </c>
    </row>
    <row r="56" spans="1:3" x14ac:dyDescent="0.25">
      <c r="A56" s="34" t="s">
        <v>781</v>
      </c>
      <c r="B56" s="19">
        <v>170</v>
      </c>
      <c r="C56" s="46">
        <v>3473.95</v>
      </c>
    </row>
    <row r="57" spans="1:3" x14ac:dyDescent="0.25">
      <c r="A57" s="32" t="s">
        <v>779</v>
      </c>
      <c r="B57" s="19">
        <v>49457</v>
      </c>
      <c r="C57" s="46">
        <v>712462.45760000008</v>
      </c>
    </row>
    <row r="58" spans="1:3" x14ac:dyDescent="0.25">
      <c r="A58" s="32" t="s">
        <v>778</v>
      </c>
      <c r="B58" s="19">
        <v>0</v>
      </c>
      <c r="C58" s="46">
        <v>0</v>
      </c>
    </row>
    <row r="59" spans="1:3" x14ac:dyDescent="0.25">
      <c r="A59" s="32" t="s">
        <v>448</v>
      </c>
      <c r="B59" s="19">
        <v>1152</v>
      </c>
      <c r="C59" s="46">
        <v>126560.583</v>
      </c>
    </row>
    <row r="60" spans="1:3" x14ac:dyDescent="0.25">
      <c r="A60" s="32" t="s">
        <v>780</v>
      </c>
      <c r="B60" s="19">
        <v>11575825</v>
      </c>
      <c r="C60" s="46">
        <v>21184331.759729311</v>
      </c>
    </row>
    <row r="61" spans="1:3" x14ac:dyDescent="0.25">
      <c r="A61" s="32" t="s">
        <v>777</v>
      </c>
      <c r="B61" s="19">
        <v>971886</v>
      </c>
      <c r="C61" s="46">
        <v>9866827.1784199998</v>
      </c>
    </row>
    <row r="62" spans="1:3" x14ac:dyDescent="0.25">
      <c r="A62" s="33" t="s">
        <v>776</v>
      </c>
      <c r="B62" s="19">
        <v>1669</v>
      </c>
      <c r="C62" s="46">
        <v>31361.483</v>
      </c>
    </row>
    <row r="63" spans="1:3" x14ac:dyDescent="0.25">
      <c r="A63" s="34" t="s">
        <v>775</v>
      </c>
      <c r="B63" s="19">
        <v>11219</v>
      </c>
      <c r="C63" s="46">
        <v>189062.20355999997</v>
      </c>
    </row>
    <row r="64" spans="1:3" x14ac:dyDescent="0.25">
      <c r="A64" s="32" t="s">
        <v>774</v>
      </c>
      <c r="B64" s="19">
        <v>313922</v>
      </c>
      <c r="C64" s="46">
        <v>2229949.0989999943</v>
      </c>
    </row>
    <row r="65" spans="1:3" x14ac:dyDescent="0.25">
      <c r="A65" s="34" t="s">
        <v>773</v>
      </c>
      <c r="B65" s="19">
        <v>4781</v>
      </c>
      <c r="C65" s="46">
        <v>482356.58675000002</v>
      </c>
    </row>
    <row r="66" spans="1:3" x14ac:dyDescent="0.25">
      <c r="A66" s="32" t="s">
        <v>772</v>
      </c>
      <c r="B66" s="19">
        <v>49444</v>
      </c>
      <c r="C66" s="46">
        <v>1022826.39818</v>
      </c>
    </row>
    <row r="67" spans="1:3" x14ac:dyDescent="0.25">
      <c r="A67" s="32" t="s">
        <v>771</v>
      </c>
      <c r="B67" s="19">
        <v>305</v>
      </c>
      <c r="C67" s="46">
        <v>1262.886</v>
      </c>
    </row>
    <row r="68" spans="1:3" x14ac:dyDescent="0.25">
      <c r="A68" s="34" t="s">
        <v>440</v>
      </c>
      <c r="B68" s="19">
        <v>14944</v>
      </c>
      <c r="C68" s="46">
        <v>30111.409</v>
      </c>
    </row>
    <row r="69" spans="1:3" x14ac:dyDescent="0.25">
      <c r="A69" s="32" t="s">
        <v>770</v>
      </c>
      <c r="B69" s="19">
        <v>3216</v>
      </c>
      <c r="C69" s="46">
        <v>120243.85011</v>
      </c>
    </row>
    <row r="70" spans="1:3" x14ac:dyDescent="0.25">
      <c r="A70" s="33" t="s">
        <v>769</v>
      </c>
      <c r="B70" s="19">
        <v>1679088</v>
      </c>
      <c r="C70" s="46">
        <v>9509880.2219300028</v>
      </c>
    </row>
    <row r="71" spans="1:3" x14ac:dyDescent="0.25">
      <c r="A71" s="34" t="s">
        <v>439</v>
      </c>
      <c r="B71" s="19">
        <v>179</v>
      </c>
      <c r="C71" s="46">
        <v>548.51400000000001</v>
      </c>
    </row>
    <row r="72" spans="1:3" x14ac:dyDescent="0.25">
      <c r="A72" s="32" t="s">
        <v>58</v>
      </c>
      <c r="B72" s="19">
        <v>239728</v>
      </c>
      <c r="C72" s="46">
        <v>6346.7654000000002</v>
      </c>
    </row>
    <row r="73" spans="1:3" x14ac:dyDescent="0.25">
      <c r="A73" s="32" t="s">
        <v>768</v>
      </c>
      <c r="B73" s="19">
        <v>115932</v>
      </c>
      <c r="C73" s="46">
        <v>2294079.4627399999</v>
      </c>
    </row>
    <row r="74" spans="1:3" x14ac:dyDescent="0.25">
      <c r="A74" s="33" t="s">
        <v>266</v>
      </c>
      <c r="B74" s="19">
        <v>5963509</v>
      </c>
      <c r="C74" s="46">
        <v>77896959.552789986</v>
      </c>
    </row>
    <row r="75" spans="1:3" x14ac:dyDescent="0.25">
      <c r="A75" s="32" t="s">
        <v>767</v>
      </c>
      <c r="B75" s="19">
        <v>141749</v>
      </c>
      <c r="C75" s="46">
        <v>1911311.23899</v>
      </c>
    </row>
    <row r="76" spans="1:3" x14ac:dyDescent="0.25">
      <c r="A76" s="32" t="s">
        <v>766</v>
      </c>
      <c r="B76" s="19">
        <v>9458</v>
      </c>
      <c r="C76" s="46">
        <v>473486.739</v>
      </c>
    </row>
    <row r="77" spans="1:3" x14ac:dyDescent="0.25">
      <c r="A77" s="32" t="s">
        <v>765</v>
      </c>
      <c r="B77" s="19">
        <v>9977038</v>
      </c>
      <c r="C77" s="46">
        <v>6074350.6363599999</v>
      </c>
    </row>
    <row r="78" spans="1:3" x14ac:dyDescent="0.25">
      <c r="A78" s="32" t="s">
        <v>544</v>
      </c>
      <c r="B78" s="19">
        <v>630648</v>
      </c>
      <c r="C78" s="46">
        <v>1593435.2924300001</v>
      </c>
    </row>
    <row r="79" spans="1:3" x14ac:dyDescent="0.25">
      <c r="A79" s="32" t="s">
        <v>763</v>
      </c>
      <c r="B79" s="19">
        <v>13654353</v>
      </c>
      <c r="C79" s="46">
        <v>30347154.629670002</v>
      </c>
    </row>
    <row r="80" spans="1:3" x14ac:dyDescent="0.25">
      <c r="A80" s="32" t="s">
        <v>764</v>
      </c>
      <c r="B80" s="19">
        <v>0</v>
      </c>
      <c r="C80" s="46">
        <v>0</v>
      </c>
    </row>
    <row r="81" spans="1:3" x14ac:dyDescent="0.25">
      <c r="A81" s="33" t="s">
        <v>761</v>
      </c>
      <c r="B81" s="19">
        <v>1692</v>
      </c>
      <c r="C81" s="46">
        <v>106246.91099999999</v>
      </c>
    </row>
    <row r="82" spans="1:3" x14ac:dyDescent="0.25">
      <c r="A82" s="32" t="s">
        <v>273</v>
      </c>
      <c r="B82" s="19">
        <v>318751176</v>
      </c>
      <c r="C82" s="46">
        <v>1406287828.2686708</v>
      </c>
    </row>
    <row r="83" spans="1:3" x14ac:dyDescent="0.25">
      <c r="A83" s="32" t="s">
        <v>760</v>
      </c>
      <c r="B83" s="19">
        <v>83803</v>
      </c>
      <c r="C83" s="46">
        <v>11285709.63253</v>
      </c>
    </row>
    <row r="84" spans="1:3" x14ac:dyDescent="0.25">
      <c r="A84" s="32" t="s">
        <v>759</v>
      </c>
      <c r="B84" s="19">
        <v>3044</v>
      </c>
      <c r="C84" s="46">
        <v>212777.53433000002</v>
      </c>
    </row>
    <row r="85" spans="1:3" x14ac:dyDescent="0.25">
      <c r="A85" s="32" t="s">
        <v>758</v>
      </c>
      <c r="B85" s="19">
        <v>2786402</v>
      </c>
      <c r="C85" s="46">
        <v>13657562.497399982</v>
      </c>
    </row>
    <row r="86" spans="1:3" x14ac:dyDescent="0.25">
      <c r="A86" s="33" t="s">
        <v>757</v>
      </c>
      <c r="B86" s="19">
        <v>1775</v>
      </c>
      <c r="C86" s="46">
        <v>39208.785299999996</v>
      </c>
    </row>
    <row r="87" spans="1:3" x14ac:dyDescent="0.25">
      <c r="A87" s="32" t="s">
        <v>70</v>
      </c>
      <c r="B87" s="19">
        <v>216553301</v>
      </c>
      <c r="C87" s="46">
        <v>1188231925.6160297</v>
      </c>
    </row>
    <row r="88" spans="1:3" x14ac:dyDescent="0.25">
      <c r="A88" s="32" t="s">
        <v>756</v>
      </c>
      <c r="B88" s="19">
        <v>52255347</v>
      </c>
      <c r="C88" s="46">
        <v>146081476.47072998</v>
      </c>
    </row>
    <row r="89" spans="1:3" x14ac:dyDescent="0.25">
      <c r="A89" s="32" t="s">
        <v>755</v>
      </c>
      <c r="B89" s="19">
        <v>23411219</v>
      </c>
      <c r="C89" s="46">
        <v>130982044.39012997</v>
      </c>
    </row>
    <row r="90" spans="1:3" x14ac:dyDescent="0.25">
      <c r="A90" s="32" t="s">
        <v>751</v>
      </c>
      <c r="B90" s="19">
        <v>14216930</v>
      </c>
      <c r="C90" s="46">
        <v>46300210.155189998</v>
      </c>
    </row>
    <row r="91" spans="1:3" x14ac:dyDescent="0.25">
      <c r="A91" s="32" t="s">
        <v>750</v>
      </c>
      <c r="B91" s="19">
        <v>73128497</v>
      </c>
      <c r="C91" s="46">
        <v>150350879.95784998</v>
      </c>
    </row>
    <row r="92" spans="1:3" x14ac:dyDescent="0.25">
      <c r="A92" s="33" t="s">
        <v>76</v>
      </c>
      <c r="B92" s="19">
        <v>75983713</v>
      </c>
      <c r="C92" s="46">
        <v>167432963.32190001</v>
      </c>
    </row>
    <row r="93" spans="1:3" x14ac:dyDescent="0.25">
      <c r="A93" s="32" t="s">
        <v>754</v>
      </c>
      <c r="B93" s="19">
        <v>0</v>
      </c>
      <c r="C93" s="46">
        <v>0</v>
      </c>
    </row>
    <row r="94" spans="1:3" x14ac:dyDescent="0.25">
      <c r="A94" s="32" t="s">
        <v>753</v>
      </c>
      <c r="B94" s="19">
        <v>1663</v>
      </c>
      <c r="C94" s="46">
        <v>9450.7003799999984</v>
      </c>
    </row>
    <row r="95" spans="1:3" x14ac:dyDescent="0.25">
      <c r="A95" s="34" t="s">
        <v>752</v>
      </c>
      <c r="B95" s="19">
        <v>2043</v>
      </c>
      <c r="C95" s="46">
        <v>72668.714000000007</v>
      </c>
    </row>
    <row r="96" spans="1:3" x14ac:dyDescent="0.25">
      <c r="A96" s="32" t="s">
        <v>749</v>
      </c>
      <c r="B96" s="19">
        <v>30354072</v>
      </c>
      <c r="C96" s="46">
        <v>160030000</v>
      </c>
    </row>
    <row r="97" spans="1:3" x14ac:dyDescent="0.25">
      <c r="A97" s="33" t="s">
        <v>745</v>
      </c>
      <c r="B97" s="19">
        <v>216046</v>
      </c>
      <c r="C97" s="46">
        <v>1352045.2</v>
      </c>
    </row>
    <row r="98" spans="1:3" x14ac:dyDescent="0.25">
      <c r="A98" s="32" t="s">
        <v>748</v>
      </c>
      <c r="B98" s="19">
        <v>315706</v>
      </c>
      <c r="C98" s="46">
        <v>911445.35808999988</v>
      </c>
    </row>
    <row r="99" spans="1:3" x14ac:dyDescent="0.25">
      <c r="A99" s="32" t="s">
        <v>747</v>
      </c>
      <c r="B99" s="19">
        <v>63912</v>
      </c>
      <c r="C99" s="46">
        <v>255545.35272000002</v>
      </c>
    </row>
    <row r="100" spans="1:3" x14ac:dyDescent="0.25">
      <c r="A100" s="33" t="s">
        <v>737</v>
      </c>
      <c r="B100" s="19">
        <v>0</v>
      </c>
      <c r="C100" s="46">
        <v>0</v>
      </c>
    </row>
    <row r="101" spans="1:3" x14ac:dyDescent="0.25">
      <c r="A101" s="32" t="s">
        <v>744</v>
      </c>
      <c r="B101" s="19">
        <v>154795</v>
      </c>
      <c r="C101" s="46">
        <v>3180350.0510500004</v>
      </c>
    </row>
    <row r="102" spans="1:3" x14ac:dyDescent="0.25">
      <c r="A102" s="32" t="s">
        <v>743</v>
      </c>
      <c r="B102" s="19">
        <v>39581</v>
      </c>
      <c r="C102" s="46">
        <v>650344.28599999996</v>
      </c>
    </row>
    <row r="103" spans="1:3" x14ac:dyDescent="0.25">
      <c r="A103" s="32" t="s">
        <v>742</v>
      </c>
      <c r="B103" s="19">
        <v>762</v>
      </c>
      <c r="C103" s="46">
        <v>13305.092000000001</v>
      </c>
    </row>
    <row r="104" spans="1:3" x14ac:dyDescent="0.25">
      <c r="A104" s="34" t="s">
        <v>741</v>
      </c>
      <c r="B104" s="19">
        <v>714</v>
      </c>
      <c r="C104" s="47">
        <v>9185.223</v>
      </c>
    </row>
    <row r="105" spans="1:3" x14ac:dyDescent="0.25">
      <c r="A105" s="33" t="s">
        <v>740</v>
      </c>
      <c r="B105" s="19">
        <v>1741871</v>
      </c>
      <c r="C105" s="46">
        <v>2745084.2737100502</v>
      </c>
    </row>
    <row r="106" spans="1:3" x14ac:dyDescent="0.25">
      <c r="A106" s="32" t="s">
        <v>738</v>
      </c>
      <c r="B106" s="19">
        <v>1175</v>
      </c>
      <c r="C106" s="46">
        <v>8266.1923000000006</v>
      </c>
    </row>
    <row r="107" spans="1:3" x14ac:dyDescent="0.25">
      <c r="A107" s="32" t="s">
        <v>444</v>
      </c>
      <c r="B107" s="19">
        <v>1757</v>
      </c>
      <c r="C107" s="46">
        <v>14192.28449</v>
      </c>
    </row>
    <row r="108" spans="1:3" x14ac:dyDescent="0.25">
      <c r="A108" s="34" t="s">
        <v>434</v>
      </c>
      <c r="B108" s="19">
        <v>2239</v>
      </c>
      <c r="C108" s="46">
        <v>22445.151999999998</v>
      </c>
    </row>
    <row r="109" spans="1:3" x14ac:dyDescent="0.25">
      <c r="A109" s="32" t="s">
        <v>739</v>
      </c>
      <c r="B109" s="19">
        <v>187939</v>
      </c>
      <c r="C109" s="46">
        <v>288686.89598000003</v>
      </c>
    </row>
    <row r="110" spans="1:3" x14ac:dyDescent="0.25">
      <c r="A110" s="32" t="s">
        <v>736</v>
      </c>
      <c r="B110" s="19">
        <v>4888</v>
      </c>
      <c r="C110" s="46">
        <v>164688.02095999997</v>
      </c>
    </row>
    <row r="111" spans="1:3" x14ac:dyDescent="0.25">
      <c r="A111" s="33" t="s">
        <v>735</v>
      </c>
      <c r="B111" s="19">
        <v>2016</v>
      </c>
      <c r="C111" s="46">
        <v>75718.510049999997</v>
      </c>
    </row>
    <row r="112" spans="1:3" x14ac:dyDescent="0.25">
      <c r="A112" s="34" t="s">
        <v>429</v>
      </c>
      <c r="B112" s="19">
        <v>1444</v>
      </c>
      <c r="C112" s="46">
        <v>39691.025399999999</v>
      </c>
    </row>
    <row r="113" spans="1:3" x14ac:dyDescent="0.25">
      <c r="A113" s="33" t="s">
        <v>734</v>
      </c>
      <c r="B113" s="19">
        <v>514389</v>
      </c>
      <c r="C113" s="46">
        <v>1748970.091</v>
      </c>
    </row>
    <row r="114" spans="1:3" x14ac:dyDescent="0.25">
      <c r="A114" s="32" t="s">
        <v>733</v>
      </c>
      <c r="B114" s="19">
        <v>4962</v>
      </c>
      <c r="C114" s="46">
        <v>127655.73579999999</v>
      </c>
    </row>
    <row r="115" spans="1:3" x14ac:dyDescent="0.25">
      <c r="A115" s="32" t="s">
        <v>732</v>
      </c>
      <c r="B115" s="19">
        <v>61</v>
      </c>
      <c r="C115" s="46">
        <v>244.67099999999999</v>
      </c>
    </row>
    <row r="116" spans="1:3" x14ac:dyDescent="0.25">
      <c r="A116" s="33" t="s">
        <v>731</v>
      </c>
      <c r="B116" s="19">
        <v>1803465</v>
      </c>
      <c r="C116" s="46">
        <v>26218835.521959998</v>
      </c>
    </row>
    <row r="117" spans="1:3" x14ac:dyDescent="0.25">
      <c r="A117" s="32" t="s">
        <v>730</v>
      </c>
      <c r="B117" s="19">
        <v>3110109</v>
      </c>
      <c r="C117" s="46">
        <v>4665647.1340100002</v>
      </c>
    </row>
    <row r="118" spans="1:3" x14ac:dyDescent="0.25">
      <c r="A118" s="32" t="s">
        <v>729</v>
      </c>
      <c r="B118" s="19">
        <v>22211076</v>
      </c>
      <c r="C118" s="46">
        <v>108016885.16183001</v>
      </c>
    </row>
    <row r="119" spans="1:3" x14ac:dyDescent="0.25">
      <c r="A119" s="33" t="s">
        <v>728</v>
      </c>
      <c r="B119" s="19">
        <v>0</v>
      </c>
      <c r="C119" s="46">
        <v>0</v>
      </c>
    </row>
    <row r="120" spans="1:3" x14ac:dyDescent="0.25">
      <c r="A120" s="33" t="s">
        <v>727</v>
      </c>
      <c r="B120" s="19">
        <v>82657</v>
      </c>
      <c r="C120" s="46">
        <v>856721.63642</v>
      </c>
    </row>
    <row r="121" spans="1:3" x14ac:dyDescent="0.25">
      <c r="A121" s="33" t="s">
        <v>726</v>
      </c>
      <c r="B121" s="19">
        <v>3261</v>
      </c>
      <c r="C121" s="46">
        <v>49576.109349999999</v>
      </c>
    </row>
    <row r="122" spans="1:3" x14ac:dyDescent="0.25">
      <c r="A122" s="32" t="s">
        <v>442</v>
      </c>
      <c r="B122" s="19">
        <v>9352</v>
      </c>
      <c r="C122" s="46">
        <v>119873.99058</v>
      </c>
    </row>
    <row r="123" spans="1:3" x14ac:dyDescent="0.25">
      <c r="A123" s="33" t="s">
        <v>831</v>
      </c>
      <c r="B123" s="19">
        <v>807</v>
      </c>
      <c r="C123" s="46">
        <v>30644.006000000001</v>
      </c>
    </row>
    <row r="124" spans="1:3" x14ac:dyDescent="0.25">
      <c r="A124" s="33" t="s">
        <v>725</v>
      </c>
      <c r="B124" s="19">
        <v>115</v>
      </c>
      <c r="C124" s="46">
        <v>2493.1559999999999</v>
      </c>
    </row>
    <row r="125" spans="1:3" x14ac:dyDescent="0.25">
      <c r="A125" s="33" t="s">
        <v>103</v>
      </c>
      <c r="B125" s="19">
        <v>133922532</v>
      </c>
      <c r="C125" s="46">
        <v>545073901.8298434</v>
      </c>
    </row>
    <row r="126" spans="1:3" x14ac:dyDescent="0.25">
      <c r="A126" s="32" t="s">
        <v>724</v>
      </c>
      <c r="B126" s="19">
        <v>22365</v>
      </c>
      <c r="C126" s="46">
        <v>228047.38221000001</v>
      </c>
    </row>
    <row r="127" spans="1:3" x14ac:dyDescent="0.25">
      <c r="A127" s="32" t="s">
        <v>722</v>
      </c>
      <c r="B127" s="19">
        <v>2383</v>
      </c>
      <c r="C127" s="46">
        <v>50778.803420000004</v>
      </c>
    </row>
    <row r="128" spans="1:3" x14ac:dyDescent="0.25">
      <c r="A128" s="32" t="s">
        <v>721</v>
      </c>
      <c r="B128" s="18">
        <v>2370</v>
      </c>
      <c r="C128" s="46">
        <v>18012.082999999999</v>
      </c>
    </row>
    <row r="129" spans="1:3" x14ac:dyDescent="0.25">
      <c r="A129" s="32" t="s">
        <v>720</v>
      </c>
      <c r="B129" s="18">
        <v>5739</v>
      </c>
      <c r="C129" s="46">
        <v>129882.20366000001</v>
      </c>
    </row>
    <row r="130" spans="1:3" x14ac:dyDescent="0.25">
      <c r="A130" s="36" t="s">
        <v>719</v>
      </c>
      <c r="B130" s="19">
        <v>3820838</v>
      </c>
      <c r="C130" s="46">
        <v>19300361.792819999</v>
      </c>
    </row>
    <row r="131" spans="1:3" x14ac:dyDescent="0.25">
      <c r="A131" s="34" t="s">
        <v>718</v>
      </c>
      <c r="B131" s="19">
        <v>471</v>
      </c>
      <c r="C131" s="46">
        <v>3962.5680000000002</v>
      </c>
    </row>
    <row r="132" spans="1:3" x14ac:dyDescent="0.25">
      <c r="A132" s="34" t="s">
        <v>717</v>
      </c>
      <c r="B132" s="19">
        <v>3514</v>
      </c>
      <c r="C132" s="46">
        <v>43661.534</v>
      </c>
    </row>
    <row r="133" spans="1:3" x14ac:dyDescent="0.25">
      <c r="A133" s="33" t="s">
        <v>716</v>
      </c>
      <c r="B133" s="19">
        <v>4961</v>
      </c>
      <c r="C133" s="46">
        <v>40972.912640000002</v>
      </c>
    </row>
    <row r="134" spans="1:3" x14ac:dyDescent="0.25">
      <c r="A134" s="33" t="s">
        <v>715</v>
      </c>
      <c r="B134" s="19">
        <v>258</v>
      </c>
      <c r="C134" s="46">
        <v>1144.8292799999999</v>
      </c>
    </row>
    <row r="135" spans="1:3" x14ac:dyDescent="0.25">
      <c r="A135" s="35" t="s">
        <v>714</v>
      </c>
      <c r="B135" s="19">
        <v>205</v>
      </c>
      <c r="C135" s="46">
        <v>2530.7429999999999</v>
      </c>
    </row>
    <row r="136" spans="1:3" x14ac:dyDescent="0.25">
      <c r="A136" s="37" t="s">
        <v>713</v>
      </c>
      <c r="B136" s="19">
        <v>240</v>
      </c>
      <c r="C136" s="46">
        <v>5868.0649999999996</v>
      </c>
    </row>
    <row r="137" spans="1:3" x14ac:dyDescent="0.25">
      <c r="A137" s="33" t="s">
        <v>712</v>
      </c>
      <c r="B137" s="19">
        <v>117490</v>
      </c>
      <c r="C137" s="46">
        <v>1003129.9203890001</v>
      </c>
    </row>
    <row r="138" spans="1:3" x14ac:dyDescent="0.25">
      <c r="A138" s="33" t="s">
        <v>710</v>
      </c>
      <c r="B138" s="19">
        <v>9197</v>
      </c>
      <c r="C138" s="46">
        <v>74722.297000000006</v>
      </c>
    </row>
    <row r="139" spans="1:3" x14ac:dyDescent="0.25">
      <c r="A139" s="33" t="s">
        <v>706</v>
      </c>
      <c r="B139" s="19">
        <v>68901</v>
      </c>
      <c r="C139" s="46">
        <v>79137.347110000002</v>
      </c>
    </row>
    <row r="140" spans="1:3" x14ac:dyDescent="0.25">
      <c r="A140" s="32" t="s">
        <v>707</v>
      </c>
      <c r="B140" s="19">
        <v>7310</v>
      </c>
      <c r="C140" s="46">
        <v>172765.90400000001</v>
      </c>
    </row>
    <row r="141" spans="1:3" x14ac:dyDescent="0.25">
      <c r="A141" s="32" t="s">
        <v>708</v>
      </c>
      <c r="B141" s="19">
        <v>25781</v>
      </c>
      <c r="C141" s="46">
        <v>41823.872089999997</v>
      </c>
    </row>
    <row r="142" spans="1:3" x14ac:dyDescent="0.25">
      <c r="A142" s="33" t="s">
        <v>705</v>
      </c>
      <c r="B142" s="19">
        <v>747</v>
      </c>
      <c r="C142" s="46">
        <v>8524.17461</v>
      </c>
    </row>
    <row r="143" spans="1:3" x14ac:dyDescent="0.25">
      <c r="A143" s="32" t="s">
        <v>704</v>
      </c>
      <c r="B143" s="19">
        <v>2195</v>
      </c>
      <c r="C143" s="46">
        <v>63846.762000000002</v>
      </c>
    </row>
    <row r="144" spans="1:3" x14ac:dyDescent="0.25">
      <c r="A144" s="33" t="s">
        <v>703</v>
      </c>
      <c r="B144" s="19">
        <v>990</v>
      </c>
      <c r="C144" s="46">
        <v>19759.032440000003</v>
      </c>
    </row>
    <row r="145" spans="1:3" x14ac:dyDescent="0.25">
      <c r="A145" s="32" t="s">
        <v>702</v>
      </c>
      <c r="B145" s="19">
        <v>106164</v>
      </c>
      <c r="C145" s="46">
        <v>168373.56814999957</v>
      </c>
    </row>
    <row r="146" spans="1:3" x14ac:dyDescent="0.25">
      <c r="A146" s="32" t="s">
        <v>701</v>
      </c>
      <c r="B146" s="19">
        <v>388846</v>
      </c>
      <c r="C146" s="46">
        <v>1147.75711</v>
      </c>
    </row>
    <row r="147" spans="1:3" x14ac:dyDescent="0.25">
      <c r="A147" s="38" t="s">
        <v>700</v>
      </c>
      <c r="B147" s="19">
        <v>9598</v>
      </c>
      <c r="C147" s="46">
        <v>78631.429960000009</v>
      </c>
    </row>
    <row r="148" spans="1:3" x14ac:dyDescent="0.25">
      <c r="A148" s="32" t="s">
        <v>698</v>
      </c>
      <c r="B148" s="19">
        <v>398</v>
      </c>
      <c r="C148" s="46">
        <v>7014.558</v>
      </c>
    </row>
    <row r="149" spans="1:3" x14ac:dyDescent="0.25">
      <c r="A149" s="32" t="s">
        <v>699</v>
      </c>
      <c r="B149" s="19">
        <v>594</v>
      </c>
      <c r="C149" s="47">
        <v>3932.04133</v>
      </c>
    </row>
    <row r="150" spans="1:3" x14ac:dyDescent="0.25">
      <c r="A150" s="32" t="s">
        <v>697</v>
      </c>
      <c r="B150" s="19">
        <v>33</v>
      </c>
      <c r="C150" s="46">
        <v>108.3463</v>
      </c>
    </row>
    <row r="151" spans="1:3" x14ac:dyDescent="0.25">
      <c r="A151" s="32" t="s">
        <v>695</v>
      </c>
      <c r="B151" s="19">
        <v>3101</v>
      </c>
      <c r="C151" s="46">
        <v>210698.90805999999</v>
      </c>
    </row>
    <row r="152" spans="1:3" x14ac:dyDescent="0.25">
      <c r="A152" s="32" t="s">
        <v>696</v>
      </c>
      <c r="B152" s="19">
        <v>148</v>
      </c>
      <c r="C152" s="46">
        <v>1118.424</v>
      </c>
    </row>
    <row r="153" spans="1:3" x14ac:dyDescent="0.25">
      <c r="A153" s="32" t="s">
        <v>694</v>
      </c>
      <c r="B153" s="19">
        <v>5199</v>
      </c>
      <c r="C153" s="46">
        <v>76094</v>
      </c>
    </row>
    <row r="154" spans="1:3" x14ac:dyDescent="0.25">
      <c r="A154" s="38" t="s">
        <v>693</v>
      </c>
      <c r="B154" s="19">
        <v>769</v>
      </c>
      <c r="C154" s="46">
        <v>17234.133000000002</v>
      </c>
    </row>
    <row r="155" spans="1:3" x14ac:dyDescent="0.25">
      <c r="A155" s="35" t="s">
        <v>692</v>
      </c>
      <c r="B155" s="19">
        <v>4638</v>
      </c>
      <c r="C155" s="46">
        <v>130203.62777000001</v>
      </c>
    </row>
    <row r="156" spans="1:3" x14ac:dyDescent="0.25">
      <c r="A156" s="34" t="s">
        <v>691</v>
      </c>
      <c r="B156" s="19">
        <v>1587</v>
      </c>
      <c r="C156" s="46">
        <v>93332.519349999988</v>
      </c>
    </row>
    <row r="157" spans="1:3" x14ac:dyDescent="0.25">
      <c r="A157" s="33" t="s">
        <v>690</v>
      </c>
      <c r="B157" s="19">
        <v>164104</v>
      </c>
      <c r="C157" s="46">
        <v>2250301.7028899998</v>
      </c>
    </row>
    <row r="158" spans="1:3" x14ac:dyDescent="0.25">
      <c r="A158" s="32" t="s">
        <v>689</v>
      </c>
      <c r="B158" s="19">
        <v>4945</v>
      </c>
      <c r="C158" s="46">
        <v>33173.249040000002</v>
      </c>
    </row>
    <row r="159" spans="1:3" x14ac:dyDescent="0.25">
      <c r="A159" s="32" t="s">
        <v>688</v>
      </c>
      <c r="B159" s="19">
        <v>362335</v>
      </c>
      <c r="C159" s="46">
        <v>300989.47128</v>
      </c>
    </row>
    <row r="160" spans="1:3" x14ac:dyDescent="0.25">
      <c r="A160" s="39" t="s">
        <v>430</v>
      </c>
      <c r="B160" s="19">
        <v>107130</v>
      </c>
      <c r="C160" s="46">
        <v>1776635.1759599987</v>
      </c>
    </row>
    <row r="161" spans="1:3" x14ac:dyDescent="0.25">
      <c r="A161" s="32" t="s">
        <v>687</v>
      </c>
      <c r="B161" s="19">
        <v>3897</v>
      </c>
      <c r="C161" s="46">
        <v>191856.9797</v>
      </c>
    </row>
    <row r="162" spans="1:3" x14ac:dyDescent="0.25">
      <c r="A162" s="33" t="s">
        <v>686</v>
      </c>
      <c r="B162" s="19">
        <v>5269</v>
      </c>
      <c r="C162" s="46">
        <v>104381.93449</v>
      </c>
    </row>
    <row r="163" spans="1:3" x14ac:dyDescent="0.25">
      <c r="A163" s="33" t="s">
        <v>685</v>
      </c>
      <c r="B163" s="19">
        <v>1240</v>
      </c>
      <c r="C163" s="46">
        <v>48460.698229999995</v>
      </c>
    </row>
    <row r="164" spans="1:3" x14ac:dyDescent="0.25">
      <c r="A164" s="32" t="s">
        <v>684</v>
      </c>
      <c r="B164" s="19">
        <v>5752</v>
      </c>
      <c r="C164" s="46">
        <v>64741.63581</v>
      </c>
    </row>
    <row r="165" spans="1:3" x14ac:dyDescent="0.25">
      <c r="A165" s="32" t="s">
        <v>138</v>
      </c>
      <c r="B165" s="19">
        <v>200608756</v>
      </c>
      <c r="C165" s="46">
        <v>190163898.85936999</v>
      </c>
    </row>
    <row r="166" spans="1:3" x14ac:dyDescent="0.25">
      <c r="A166" s="32" t="s">
        <v>683</v>
      </c>
      <c r="B166" s="19">
        <v>618</v>
      </c>
      <c r="C166" s="46">
        <v>28764.98</v>
      </c>
    </row>
    <row r="167" spans="1:3" x14ac:dyDescent="0.25">
      <c r="A167" s="33" t="s">
        <v>682</v>
      </c>
      <c r="B167" s="19">
        <v>1099</v>
      </c>
      <c r="C167" s="46">
        <v>9687.8889999999992</v>
      </c>
    </row>
    <row r="168" spans="1:3" x14ac:dyDescent="0.25">
      <c r="A168" s="32" t="s">
        <v>681</v>
      </c>
      <c r="B168" s="19">
        <v>202686</v>
      </c>
      <c r="C168" s="46">
        <v>1268279.7487800003</v>
      </c>
    </row>
    <row r="169" spans="1:3" x14ac:dyDescent="0.25">
      <c r="A169" s="32" t="s">
        <v>680</v>
      </c>
      <c r="B169" s="19">
        <v>9592</v>
      </c>
      <c r="C169" s="46">
        <v>148013.79699999999</v>
      </c>
    </row>
    <row r="170" spans="1:3" x14ac:dyDescent="0.25">
      <c r="A170" s="33" t="s">
        <v>679</v>
      </c>
      <c r="B170" s="19">
        <v>4239</v>
      </c>
      <c r="C170" s="46">
        <v>336154.636</v>
      </c>
    </row>
    <row r="171" spans="1:3" x14ac:dyDescent="0.25">
      <c r="A171" s="32" t="s">
        <v>677</v>
      </c>
      <c r="B171" s="19">
        <v>95531</v>
      </c>
      <c r="C171" s="46">
        <v>2660985.4912799997</v>
      </c>
    </row>
    <row r="172" spans="1:3" x14ac:dyDescent="0.25">
      <c r="A172" s="32" t="s">
        <v>676</v>
      </c>
      <c r="B172" s="19">
        <v>279983</v>
      </c>
      <c r="C172" s="46">
        <v>324.52562</v>
      </c>
    </row>
    <row r="173" spans="1:3" x14ac:dyDescent="0.25">
      <c r="A173" s="32" t="s">
        <v>675</v>
      </c>
      <c r="B173" s="19">
        <v>48674</v>
      </c>
      <c r="C173" s="46">
        <v>85692.210999999996</v>
      </c>
    </row>
    <row r="174" spans="1:3" x14ac:dyDescent="0.25">
      <c r="A174" s="32" t="s">
        <v>674</v>
      </c>
      <c r="B174" s="19">
        <v>39002</v>
      </c>
      <c r="C174" s="46">
        <v>657720.14862999995</v>
      </c>
    </row>
    <row r="175" spans="1:3" x14ac:dyDescent="0.25">
      <c r="A175" s="32" t="s">
        <v>673</v>
      </c>
      <c r="B175" s="19">
        <v>40974</v>
      </c>
      <c r="C175" s="46">
        <v>433715.25560000003</v>
      </c>
    </row>
    <row r="176" spans="1:3" x14ac:dyDescent="0.25">
      <c r="A176" s="32" t="s">
        <v>672</v>
      </c>
      <c r="B176" s="19">
        <v>154219031</v>
      </c>
      <c r="C176" s="46">
        <v>311266109.52019</v>
      </c>
    </row>
    <row r="177" spans="1:3" x14ac:dyDescent="0.25">
      <c r="A177" s="32" t="s">
        <v>671</v>
      </c>
      <c r="B177" s="19">
        <v>1542</v>
      </c>
      <c r="C177" s="46">
        <v>12749.50986</v>
      </c>
    </row>
    <row r="178" spans="1:3" x14ac:dyDescent="0.25">
      <c r="A178" s="32" t="s">
        <v>670</v>
      </c>
      <c r="B178" s="19">
        <v>586</v>
      </c>
      <c r="C178" s="46">
        <v>5072.9189999999999</v>
      </c>
    </row>
    <row r="179" spans="1:3" x14ac:dyDescent="0.25">
      <c r="A179" s="32" t="s">
        <v>669</v>
      </c>
      <c r="B179" s="19">
        <v>7760</v>
      </c>
      <c r="C179" s="46">
        <v>410214.46974999999</v>
      </c>
    </row>
    <row r="180" spans="1:3" x14ac:dyDescent="0.25">
      <c r="A180" s="32" t="s">
        <v>517</v>
      </c>
      <c r="B180" s="19">
        <v>199118</v>
      </c>
      <c r="C180" s="46">
        <v>3879452.6695800005</v>
      </c>
    </row>
    <row r="181" spans="1:3" x14ac:dyDescent="0.25">
      <c r="A181" s="32" t="s">
        <v>668</v>
      </c>
      <c r="B181" s="19">
        <v>34827</v>
      </c>
      <c r="C181" s="46">
        <v>940187.66342000011</v>
      </c>
    </row>
    <row r="182" spans="1:3" x14ac:dyDescent="0.25">
      <c r="A182" s="32" t="s">
        <v>667</v>
      </c>
      <c r="B182" s="19">
        <v>285589</v>
      </c>
      <c r="C182" s="46">
        <v>1600054.74703</v>
      </c>
    </row>
    <row r="183" spans="1:3" x14ac:dyDescent="0.25">
      <c r="A183" s="32" t="s">
        <v>666</v>
      </c>
      <c r="B183" s="19">
        <v>9776</v>
      </c>
      <c r="C183" s="46">
        <v>737079.9286799999</v>
      </c>
    </row>
    <row r="184" spans="1:3" x14ac:dyDescent="0.25">
      <c r="A184" s="33" t="s">
        <v>665</v>
      </c>
      <c r="B184" s="19">
        <v>289</v>
      </c>
      <c r="C184" s="46">
        <v>1269.81115</v>
      </c>
    </row>
    <row r="185" spans="1:3" x14ac:dyDescent="0.25">
      <c r="A185" s="32" t="s">
        <v>663</v>
      </c>
      <c r="B185" s="19">
        <v>15728</v>
      </c>
      <c r="C185" s="46">
        <v>49449.49007</v>
      </c>
    </row>
    <row r="186" spans="1:3" x14ac:dyDescent="0.25">
      <c r="A186" s="32" t="s">
        <v>664</v>
      </c>
      <c r="B186" s="19">
        <v>14739434</v>
      </c>
      <c r="C186" s="46">
        <v>49544654.836594999</v>
      </c>
    </row>
    <row r="187" spans="1:3" x14ac:dyDescent="0.25">
      <c r="A187" s="34" t="s">
        <v>662</v>
      </c>
      <c r="B187" s="19">
        <v>183</v>
      </c>
      <c r="C187" s="46">
        <v>1323.6559999999999</v>
      </c>
    </row>
    <row r="188" spans="1:3" x14ac:dyDescent="0.25">
      <c r="A188" s="32" t="s">
        <v>661</v>
      </c>
      <c r="B188" s="19">
        <v>6768</v>
      </c>
      <c r="C188" s="46">
        <v>97957.470969999995</v>
      </c>
    </row>
    <row r="189" spans="1:3" x14ac:dyDescent="0.25">
      <c r="A189" s="32" t="s">
        <v>660</v>
      </c>
      <c r="B189" s="19">
        <v>148725</v>
      </c>
      <c r="C189" s="46">
        <v>345657.95135000005</v>
      </c>
    </row>
    <row r="190" spans="1:3" x14ac:dyDescent="0.25">
      <c r="A190" s="32" t="s">
        <v>659</v>
      </c>
      <c r="B190" s="19">
        <v>3626</v>
      </c>
      <c r="C190" s="46">
        <v>51246.427000000003</v>
      </c>
    </row>
    <row r="191" spans="1:3" x14ac:dyDescent="0.25">
      <c r="A191" s="32" t="s">
        <v>658</v>
      </c>
      <c r="B191" s="19">
        <v>5556</v>
      </c>
      <c r="C191" s="46">
        <v>79726.499500000005</v>
      </c>
    </row>
    <row r="192" spans="1:3" x14ac:dyDescent="0.25">
      <c r="A192" s="32" t="s">
        <v>657</v>
      </c>
      <c r="B192" s="19">
        <v>631</v>
      </c>
      <c r="C192" s="46">
        <v>7224.3838099999994</v>
      </c>
    </row>
    <row r="193" spans="1:3" x14ac:dyDescent="0.25">
      <c r="A193" s="32" t="s">
        <v>656</v>
      </c>
      <c r="B193" s="19">
        <v>8615</v>
      </c>
      <c r="C193" s="46">
        <v>44543.595999999998</v>
      </c>
    </row>
    <row r="194" spans="1:3" x14ac:dyDescent="0.25">
      <c r="A194" s="33" t="s">
        <v>655</v>
      </c>
      <c r="B194" s="19">
        <v>1459</v>
      </c>
      <c r="C194" s="46">
        <v>79684.801170000006</v>
      </c>
    </row>
    <row r="195" spans="1:3" x14ac:dyDescent="0.25">
      <c r="A195" s="32" t="s">
        <v>654</v>
      </c>
      <c r="B195" s="19">
        <v>12142</v>
      </c>
      <c r="C195" s="46">
        <v>480407.77750999999</v>
      </c>
    </row>
    <row r="196" spans="1:3" x14ac:dyDescent="0.25">
      <c r="A196" s="32" t="s">
        <v>653</v>
      </c>
      <c r="B196" s="19">
        <v>8418247</v>
      </c>
      <c r="C196" s="46">
        <v>24652870.760590006</v>
      </c>
    </row>
    <row r="197" spans="1:3" x14ac:dyDescent="0.25">
      <c r="A197" s="32" t="s">
        <v>652</v>
      </c>
      <c r="B197" s="19">
        <v>6106</v>
      </c>
      <c r="C197" s="46">
        <v>182177.23019999999</v>
      </c>
    </row>
    <row r="198" spans="1:3" x14ac:dyDescent="0.25">
      <c r="A198" s="33" t="s">
        <v>650</v>
      </c>
      <c r="B198" s="19">
        <v>681</v>
      </c>
      <c r="C198" s="46">
        <v>31962.073</v>
      </c>
    </row>
    <row r="199" spans="1:3" x14ac:dyDescent="0.25">
      <c r="A199" s="33" t="s">
        <v>649</v>
      </c>
      <c r="B199" s="19">
        <v>2820</v>
      </c>
      <c r="C199" s="46">
        <v>76593.522430000012</v>
      </c>
    </row>
    <row r="200" spans="1:3" x14ac:dyDescent="0.25">
      <c r="A200" s="33" t="s">
        <v>651</v>
      </c>
      <c r="B200" s="19">
        <v>3720</v>
      </c>
      <c r="C200" s="46">
        <v>183620.20679199998</v>
      </c>
    </row>
    <row r="201" spans="1:3" x14ac:dyDescent="0.25">
      <c r="A201" s="33" t="s">
        <v>648</v>
      </c>
      <c r="B201" s="19">
        <v>28414</v>
      </c>
      <c r="C201" s="46">
        <v>450908.57287000003</v>
      </c>
    </row>
    <row r="202" spans="1:3" x14ac:dyDescent="0.25">
      <c r="A202" s="32" t="s">
        <v>647</v>
      </c>
      <c r="B202" s="19">
        <v>35158</v>
      </c>
      <c r="C202" s="46">
        <v>740226.23323999997</v>
      </c>
    </row>
    <row r="203" spans="1:3" x14ac:dyDescent="0.25">
      <c r="A203" s="32" t="s">
        <v>646</v>
      </c>
      <c r="B203" s="19">
        <v>3236</v>
      </c>
      <c r="C203" s="46">
        <v>225506.51665000001</v>
      </c>
    </row>
    <row r="204" spans="1:3" x14ac:dyDescent="0.25">
      <c r="A204" s="32" t="s">
        <v>645</v>
      </c>
      <c r="B204" s="19">
        <v>38168</v>
      </c>
      <c r="C204" s="46">
        <v>1270665.9709999999</v>
      </c>
    </row>
    <row r="205" spans="1:3" x14ac:dyDescent="0.25">
      <c r="A205" s="34" t="s">
        <v>497</v>
      </c>
      <c r="B205" s="19">
        <v>2499</v>
      </c>
      <c r="C205" s="46">
        <v>148707.78400000001</v>
      </c>
    </row>
    <row r="206" spans="1:3" x14ac:dyDescent="0.25">
      <c r="A206" s="32" t="s">
        <v>644</v>
      </c>
      <c r="B206" s="19">
        <v>23295</v>
      </c>
      <c r="C206" s="46">
        <v>320988.64985000005</v>
      </c>
    </row>
    <row r="207" spans="1:3" x14ac:dyDescent="0.25">
      <c r="A207" s="32" t="s">
        <v>643</v>
      </c>
      <c r="B207" s="19">
        <v>14549</v>
      </c>
      <c r="C207" s="46">
        <v>461812.67061000003</v>
      </c>
    </row>
    <row r="208" spans="1:3" x14ac:dyDescent="0.25">
      <c r="A208" s="40" t="s">
        <v>642</v>
      </c>
      <c r="B208" s="19">
        <v>16810</v>
      </c>
      <c r="C208" s="46">
        <v>960348.63594999991</v>
      </c>
    </row>
    <row r="209" spans="1:3" x14ac:dyDescent="0.25">
      <c r="A209" s="33" t="s">
        <v>641</v>
      </c>
      <c r="B209" s="19">
        <v>3815</v>
      </c>
      <c r="C209" s="46">
        <v>74593.94491999998</v>
      </c>
    </row>
    <row r="210" spans="1:3" x14ac:dyDescent="0.25">
      <c r="A210" s="34" t="s">
        <v>437</v>
      </c>
      <c r="B210" s="19">
        <v>6978</v>
      </c>
      <c r="C210" s="46">
        <v>1445540.48954</v>
      </c>
    </row>
    <row r="211" spans="1:3" x14ac:dyDescent="0.25">
      <c r="A211" s="33" t="s">
        <v>711</v>
      </c>
      <c r="B211" s="19">
        <v>13677</v>
      </c>
      <c r="C211" s="46">
        <v>22626.666850000001</v>
      </c>
    </row>
    <row r="212" spans="1:3" x14ac:dyDescent="0.25">
      <c r="A212" s="32" t="s">
        <v>449</v>
      </c>
      <c r="B212" s="19">
        <v>244</v>
      </c>
      <c r="C212" s="46">
        <v>10508.016800000001</v>
      </c>
    </row>
    <row r="213" spans="1:3" x14ac:dyDescent="0.25">
      <c r="A213" s="32" t="s">
        <v>640</v>
      </c>
      <c r="B213" s="19">
        <v>2414</v>
      </c>
      <c r="C213" s="46">
        <v>46643.093000000001</v>
      </c>
    </row>
    <row r="214" spans="1:3" x14ac:dyDescent="0.25">
      <c r="A214" s="32" t="s">
        <v>639</v>
      </c>
      <c r="B214" s="19">
        <v>1295</v>
      </c>
      <c r="C214" s="46">
        <v>17184.552030000003</v>
      </c>
    </row>
    <row r="215" spans="1:3" x14ac:dyDescent="0.25">
      <c r="A215" s="34" t="s">
        <v>438</v>
      </c>
      <c r="B215" s="19">
        <v>16</v>
      </c>
      <c r="C215" s="46">
        <v>423.67</v>
      </c>
    </row>
    <row r="216" spans="1:3" x14ac:dyDescent="0.25">
      <c r="A216" s="34" t="s">
        <v>631</v>
      </c>
      <c r="B216" s="19">
        <v>5916</v>
      </c>
      <c r="C216" s="46">
        <v>122579.57972999998</v>
      </c>
    </row>
    <row r="217" spans="1:3" x14ac:dyDescent="0.25">
      <c r="A217" s="32" t="s">
        <v>638</v>
      </c>
      <c r="B217" s="19">
        <v>248</v>
      </c>
      <c r="C217" s="46">
        <v>2278.4259999999999</v>
      </c>
    </row>
    <row r="218" spans="1:3" x14ac:dyDescent="0.25">
      <c r="A218" s="34" t="s">
        <v>637</v>
      </c>
      <c r="B218" s="19">
        <v>9013</v>
      </c>
      <c r="C218" s="46">
        <v>299013.58367999998</v>
      </c>
    </row>
    <row r="219" spans="1:3" x14ac:dyDescent="0.25">
      <c r="A219" s="33" t="s">
        <v>636</v>
      </c>
      <c r="B219" s="19">
        <v>139426</v>
      </c>
      <c r="C219" s="46">
        <v>1927112.2787299999</v>
      </c>
    </row>
    <row r="220" spans="1:3" x14ac:dyDescent="0.25">
      <c r="A220" s="33" t="s">
        <v>635</v>
      </c>
      <c r="B220" s="19">
        <v>2549</v>
      </c>
      <c r="C220" s="46">
        <v>20226.875509999998</v>
      </c>
    </row>
    <row r="221" spans="1:3" x14ac:dyDescent="0.25">
      <c r="A221" s="34" t="s">
        <v>634</v>
      </c>
      <c r="B221" s="19">
        <v>469</v>
      </c>
      <c r="C221" s="46">
        <v>3274.4989999999998</v>
      </c>
    </row>
    <row r="222" spans="1:3" x14ac:dyDescent="0.25">
      <c r="A222" s="34" t="s">
        <v>633</v>
      </c>
      <c r="B222" s="19">
        <v>14639</v>
      </c>
      <c r="C222" s="46">
        <v>377052.66128</v>
      </c>
    </row>
    <row r="223" spans="1:3" x14ac:dyDescent="0.25">
      <c r="A223" s="34" t="s">
        <v>632</v>
      </c>
      <c r="B223" s="19">
        <v>38</v>
      </c>
      <c r="C223" s="46">
        <v>2237.194</v>
      </c>
    </row>
    <row r="224" spans="1:3" x14ac:dyDescent="0.25">
      <c r="A224" s="32" t="s">
        <v>630</v>
      </c>
      <c r="B224" s="19">
        <v>24</v>
      </c>
      <c r="C224" s="46">
        <v>99.203999999999994</v>
      </c>
    </row>
    <row r="225" spans="1:3" x14ac:dyDescent="0.25">
      <c r="A225" s="32" t="s">
        <v>629</v>
      </c>
      <c r="B225" s="19">
        <v>7218</v>
      </c>
      <c r="C225" s="46">
        <v>69361.136629999994</v>
      </c>
    </row>
    <row r="226" spans="1:3" x14ac:dyDescent="0.25">
      <c r="A226" s="32" t="s">
        <v>628</v>
      </c>
      <c r="B226" s="19">
        <v>71</v>
      </c>
      <c r="C226" s="46">
        <v>395.7</v>
      </c>
    </row>
    <row r="227" spans="1:3" x14ac:dyDescent="0.25">
      <c r="A227" s="32" t="s">
        <v>165</v>
      </c>
      <c r="B227" s="19">
        <v>15405923</v>
      </c>
      <c r="C227" s="46">
        <v>61852487.437109999</v>
      </c>
    </row>
    <row r="228" spans="1:3" x14ac:dyDescent="0.25">
      <c r="A228" s="32" t="s">
        <v>627</v>
      </c>
      <c r="B228" s="19">
        <v>2666</v>
      </c>
      <c r="C228" s="46">
        <v>9383.3511500000004</v>
      </c>
    </row>
    <row r="229" spans="1:3" x14ac:dyDescent="0.25">
      <c r="A229" s="32" t="s">
        <v>451</v>
      </c>
      <c r="B229" s="19">
        <v>202</v>
      </c>
      <c r="C229" s="46">
        <v>1978.40949</v>
      </c>
    </row>
    <row r="230" spans="1:3" x14ac:dyDescent="0.25">
      <c r="A230" s="32" t="s">
        <v>626</v>
      </c>
      <c r="B230" s="19">
        <v>19</v>
      </c>
      <c r="C230" s="46">
        <v>151.60300000000001</v>
      </c>
    </row>
    <row r="231" spans="1:3" x14ac:dyDescent="0.25">
      <c r="A231" s="33" t="s">
        <v>625</v>
      </c>
      <c r="B231" s="19">
        <v>89</v>
      </c>
      <c r="C231" s="46">
        <v>1717.809</v>
      </c>
    </row>
    <row r="232" spans="1:3" x14ac:dyDescent="0.25">
      <c r="A232" s="41" t="s">
        <v>168</v>
      </c>
      <c r="B232" s="19">
        <v>956716766</v>
      </c>
      <c r="C232" s="46">
        <v>2674053259.8749599</v>
      </c>
    </row>
    <row r="233" spans="1:3" x14ac:dyDescent="0.25">
      <c r="A233" s="32" t="s">
        <v>624</v>
      </c>
      <c r="B233" s="19">
        <v>5448</v>
      </c>
      <c r="C233" s="46">
        <v>465874.924</v>
      </c>
    </row>
    <row r="234" spans="1:3" x14ac:dyDescent="0.25">
      <c r="A234" s="32" t="s">
        <v>623</v>
      </c>
      <c r="B234" s="19">
        <v>10481</v>
      </c>
      <c r="C234" s="46">
        <v>608657.84900000005</v>
      </c>
    </row>
    <row r="235" spans="1:3" x14ac:dyDescent="0.25">
      <c r="A235" s="33" t="s">
        <v>622</v>
      </c>
      <c r="B235" s="19">
        <v>18448</v>
      </c>
      <c r="C235" s="46">
        <v>1718848.3666600001</v>
      </c>
    </row>
    <row r="236" spans="1:3" x14ac:dyDescent="0.25">
      <c r="A236" s="32" t="s">
        <v>621</v>
      </c>
      <c r="B236" s="19">
        <v>64157</v>
      </c>
      <c r="C236" s="46">
        <v>1476466.9315299999</v>
      </c>
    </row>
    <row r="237" spans="1:3" x14ac:dyDescent="0.25">
      <c r="A237" s="32" t="s">
        <v>620</v>
      </c>
      <c r="B237" s="19">
        <v>2079819</v>
      </c>
      <c r="C237" s="46">
        <v>4106914.8104599998</v>
      </c>
    </row>
    <row r="238" spans="1:3" x14ac:dyDescent="0.25">
      <c r="A238" s="32" t="s">
        <v>619</v>
      </c>
      <c r="B238" s="19">
        <v>100</v>
      </c>
      <c r="C238" s="46">
        <v>700.31299999999999</v>
      </c>
    </row>
    <row r="239" spans="1:3" x14ac:dyDescent="0.25">
      <c r="A239" s="32" t="s">
        <v>618</v>
      </c>
      <c r="B239" s="19">
        <v>2552</v>
      </c>
      <c r="C239" s="46">
        <v>20016.217000000001</v>
      </c>
    </row>
    <row r="240" spans="1:3" x14ac:dyDescent="0.25">
      <c r="A240" s="32" t="s">
        <v>617</v>
      </c>
      <c r="B240" s="19">
        <v>740014</v>
      </c>
      <c r="C240" s="46">
        <v>8915557.3350299988</v>
      </c>
    </row>
    <row r="241" spans="1:3" x14ac:dyDescent="0.25">
      <c r="A241" s="33" t="s">
        <v>616</v>
      </c>
      <c r="B241" s="19">
        <v>57225</v>
      </c>
      <c r="C241" s="46">
        <v>692062.24300000002</v>
      </c>
    </row>
    <row r="242" spans="1:3" x14ac:dyDescent="0.25">
      <c r="A242" s="33" t="s">
        <v>615</v>
      </c>
      <c r="B242" s="19">
        <v>3832</v>
      </c>
      <c r="C242" s="46">
        <v>335311.58199000004</v>
      </c>
    </row>
    <row r="243" spans="1:3" x14ac:dyDescent="0.25">
      <c r="A243" s="32" t="s">
        <v>613</v>
      </c>
      <c r="B243" s="19">
        <v>17565</v>
      </c>
      <c r="C243" s="46">
        <v>163776.98959000001</v>
      </c>
    </row>
    <row r="244" spans="1:3" x14ac:dyDescent="0.25">
      <c r="A244" s="33" t="s">
        <v>611</v>
      </c>
      <c r="B244" s="19">
        <v>548</v>
      </c>
      <c r="C244" s="46">
        <v>8530.3009999999995</v>
      </c>
    </row>
    <row r="245" spans="1:3" x14ac:dyDescent="0.25">
      <c r="A245" s="33" t="s">
        <v>610</v>
      </c>
      <c r="B245" s="19">
        <v>11027</v>
      </c>
      <c r="C245" s="46">
        <v>342138.18370999995</v>
      </c>
    </row>
    <row r="246" spans="1:3" x14ac:dyDescent="0.25">
      <c r="A246" s="32" t="s">
        <v>609</v>
      </c>
      <c r="B246" s="19">
        <v>158</v>
      </c>
      <c r="C246" s="46">
        <v>7386.1229999999996</v>
      </c>
    </row>
    <row r="247" spans="1:3" x14ac:dyDescent="0.25">
      <c r="A247" s="32" t="s">
        <v>608</v>
      </c>
      <c r="B247" s="19">
        <v>701814</v>
      </c>
      <c r="C247" s="46">
        <v>2123818.0249400004</v>
      </c>
    </row>
    <row r="248" spans="1:3" x14ac:dyDescent="0.25">
      <c r="A248" s="33" t="s">
        <v>607</v>
      </c>
      <c r="B248" s="19">
        <v>106557</v>
      </c>
      <c r="C248" s="46">
        <v>4331207.819219999</v>
      </c>
    </row>
    <row r="249" spans="1:3" x14ac:dyDescent="0.25">
      <c r="A249" s="32" t="s">
        <v>606</v>
      </c>
      <c r="B249" s="19">
        <v>2520</v>
      </c>
      <c r="C249" s="46">
        <v>19065.18979</v>
      </c>
    </row>
    <row r="250" spans="1:3" x14ac:dyDescent="0.25">
      <c r="A250" s="32" t="s">
        <v>605</v>
      </c>
      <c r="B250" s="19">
        <v>43303</v>
      </c>
      <c r="C250" s="46">
        <v>6263823.6123399995</v>
      </c>
    </row>
    <row r="251" spans="1:3" x14ac:dyDescent="0.25">
      <c r="A251" s="32" t="s">
        <v>604</v>
      </c>
      <c r="B251" s="19">
        <v>19248</v>
      </c>
      <c r="C251" s="46">
        <v>561548.86389000004</v>
      </c>
    </row>
    <row r="252" spans="1:3" x14ac:dyDescent="0.25">
      <c r="A252" s="33" t="s">
        <v>603</v>
      </c>
      <c r="B252" s="19">
        <v>2873</v>
      </c>
      <c r="C252" s="46">
        <v>30442.33034</v>
      </c>
    </row>
    <row r="253" spans="1:3" x14ac:dyDescent="0.25">
      <c r="A253" s="32" t="s">
        <v>602</v>
      </c>
      <c r="B253" s="19">
        <v>4161</v>
      </c>
      <c r="C253" s="46">
        <v>94493.166110000006</v>
      </c>
    </row>
    <row r="254" spans="1:3" x14ac:dyDescent="0.25">
      <c r="A254" s="33" t="s">
        <v>601</v>
      </c>
      <c r="B254" s="19">
        <v>2131</v>
      </c>
      <c r="C254" s="46">
        <v>45304.391459999999</v>
      </c>
    </row>
    <row r="255" spans="1:3" x14ac:dyDescent="0.25">
      <c r="A255" s="32" t="s">
        <v>600</v>
      </c>
      <c r="B255" s="19">
        <v>260</v>
      </c>
      <c r="C255" s="46">
        <v>1137.5340000000001</v>
      </c>
    </row>
    <row r="256" spans="1:3" x14ac:dyDescent="0.25">
      <c r="A256" s="33" t="s">
        <v>599</v>
      </c>
      <c r="B256" s="19">
        <v>11</v>
      </c>
      <c r="C256" s="46">
        <v>65.375</v>
      </c>
    </row>
    <row r="257" spans="1:3" x14ac:dyDescent="0.25">
      <c r="A257" s="33" t="s">
        <v>598</v>
      </c>
      <c r="B257" s="19">
        <v>19173</v>
      </c>
      <c r="C257" s="46">
        <v>1331422.99453</v>
      </c>
    </row>
    <row r="258" spans="1:3" x14ac:dyDescent="0.25">
      <c r="A258" s="34" t="s">
        <v>425</v>
      </c>
      <c r="B258" s="19">
        <v>26</v>
      </c>
      <c r="C258" s="46">
        <v>228.70400000000001</v>
      </c>
    </row>
    <row r="259" spans="1:3" x14ac:dyDescent="0.25">
      <c r="A259" s="33" t="s">
        <v>597</v>
      </c>
      <c r="B259" s="19">
        <v>990</v>
      </c>
      <c r="C259" s="46">
        <v>28691.880499999999</v>
      </c>
    </row>
    <row r="260" spans="1:3" x14ac:dyDescent="0.25">
      <c r="A260" s="32" t="s">
        <v>596</v>
      </c>
      <c r="B260" s="19">
        <v>163514</v>
      </c>
      <c r="C260" s="46">
        <v>702528.6463599999</v>
      </c>
    </row>
    <row r="261" spans="1:3" x14ac:dyDescent="0.25">
      <c r="A261" s="32" t="s">
        <v>595</v>
      </c>
      <c r="B261" s="19">
        <v>1177</v>
      </c>
      <c r="C261" s="46">
        <v>32378.9136</v>
      </c>
    </row>
    <row r="262" spans="1:3" x14ac:dyDescent="0.25">
      <c r="A262" s="33" t="s">
        <v>594</v>
      </c>
      <c r="B262" s="19">
        <v>1035</v>
      </c>
      <c r="C262" s="46">
        <v>96046.767999999996</v>
      </c>
    </row>
    <row r="263" spans="1:3" x14ac:dyDescent="0.25">
      <c r="A263" s="42" t="s">
        <v>593</v>
      </c>
      <c r="B263" s="19">
        <v>4812</v>
      </c>
      <c r="C263" s="46">
        <v>84989.018680000008</v>
      </c>
    </row>
    <row r="264" spans="1:3" x14ac:dyDescent="0.25">
      <c r="A264" s="32" t="s">
        <v>592</v>
      </c>
      <c r="B264" s="19">
        <v>4811</v>
      </c>
      <c r="C264" s="46">
        <v>309310.38598000002</v>
      </c>
    </row>
    <row r="265" spans="1:3" x14ac:dyDescent="0.25">
      <c r="A265" s="32" t="s">
        <v>591</v>
      </c>
      <c r="B265" s="19">
        <v>3461</v>
      </c>
      <c r="C265" s="46">
        <v>266329.67128000001</v>
      </c>
    </row>
    <row r="266" spans="1:3" x14ac:dyDescent="0.25">
      <c r="A266" s="32" t="s">
        <v>589</v>
      </c>
      <c r="B266" s="19">
        <v>1169</v>
      </c>
      <c r="C266" s="46">
        <v>39461.571269999993</v>
      </c>
    </row>
    <row r="267" spans="1:3" x14ac:dyDescent="0.25">
      <c r="A267" s="32" t="s">
        <v>588</v>
      </c>
      <c r="B267" s="19">
        <v>4874</v>
      </c>
      <c r="C267" s="46">
        <v>412311.08972000005</v>
      </c>
    </row>
    <row r="268" spans="1:3" x14ac:dyDescent="0.25">
      <c r="A268" s="32" t="s">
        <v>590</v>
      </c>
      <c r="B268" s="19">
        <v>3921</v>
      </c>
      <c r="C268" s="46">
        <v>93111.075270000016</v>
      </c>
    </row>
    <row r="269" spans="1:3" x14ac:dyDescent="0.25">
      <c r="A269" s="33" t="s">
        <v>587</v>
      </c>
      <c r="B269" s="19">
        <v>5272</v>
      </c>
      <c r="C269" s="46">
        <v>59590.269</v>
      </c>
    </row>
    <row r="270" spans="1:3" x14ac:dyDescent="0.25">
      <c r="A270" s="32" t="s">
        <v>586</v>
      </c>
      <c r="B270" s="19">
        <v>590</v>
      </c>
      <c r="C270" s="46">
        <v>2074.9009999999998</v>
      </c>
    </row>
    <row r="271" spans="1:3" x14ac:dyDescent="0.25">
      <c r="A271" s="32" t="s">
        <v>585</v>
      </c>
      <c r="B271" s="19">
        <v>496</v>
      </c>
      <c r="C271" s="46">
        <v>40413.366179999997</v>
      </c>
    </row>
    <row r="272" spans="1:3" x14ac:dyDescent="0.25">
      <c r="A272" s="34" t="s">
        <v>432</v>
      </c>
      <c r="B272" s="19">
        <v>86</v>
      </c>
      <c r="C272" s="46">
        <v>15.484999999999999</v>
      </c>
    </row>
    <row r="273" spans="1:3" x14ac:dyDescent="0.25">
      <c r="A273" s="33" t="s">
        <v>584</v>
      </c>
      <c r="B273" s="19">
        <v>26048</v>
      </c>
      <c r="C273" s="46">
        <v>1220491.6413999998</v>
      </c>
    </row>
    <row r="274" spans="1:3" x14ac:dyDescent="0.25">
      <c r="A274" s="33" t="s">
        <v>583</v>
      </c>
      <c r="B274" s="19">
        <v>5</v>
      </c>
      <c r="C274" s="46">
        <v>15.427</v>
      </c>
    </row>
    <row r="275" spans="1:3" x14ac:dyDescent="0.25">
      <c r="A275" s="32" t="s">
        <v>582</v>
      </c>
      <c r="B275" s="19">
        <v>450</v>
      </c>
      <c r="C275" s="46">
        <v>1686.1957500000001</v>
      </c>
    </row>
    <row r="276" spans="1:3" x14ac:dyDescent="0.25">
      <c r="A276" s="33" t="s">
        <v>581</v>
      </c>
      <c r="B276" s="19">
        <v>1673</v>
      </c>
      <c r="C276" s="46">
        <v>15266.886640000001</v>
      </c>
    </row>
    <row r="277" spans="1:3" x14ac:dyDescent="0.25">
      <c r="A277" s="32" t="s">
        <v>580</v>
      </c>
      <c r="B277" s="19">
        <v>4975</v>
      </c>
      <c r="C277" s="46">
        <v>289965.08466999995</v>
      </c>
    </row>
    <row r="278" spans="1:3" x14ac:dyDescent="0.25">
      <c r="A278" s="32" t="s">
        <v>579</v>
      </c>
      <c r="B278" s="19">
        <v>2275</v>
      </c>
      <c r="C278" s="46">
        <v>74353.824120000005</v>
      </c>
    </row>
    <row r="279" spans="1:3" x14ac:dyDescent="0.25">
      <c r="A279" s="34" t="s">
        <v>832</v>
      </c>
      <c r="B279" s="19">
        <v>8169</v>
      </c>
      <c r="C279" s="46">
        <v>231604.63800000001</v>
      </c>
    </row>
    <row r="280" spans="1:3" x14ac:dyDescent="0.25">
      <c r="A280" s="32" t="s">
        <v>578</v>
      </c>
      <c r="B280" s="19">
        <v>2375881</v>
      </c>
      <c r="C280" s="46">
        <v>6968966.01743</v>
      </c>
    </row>
    <row r="281" spans="1:3" x14ac:dyDescent="0.25">
      <c r="A281" s="32" t="s">
        <v>577</v>
      </c>
      <c r="B281" s="19">
        <v>344</v>
      </c>
      <c r="C281" s="46">
        <v>1309.9829999999999</v>
      </c>
    </row>
    <row r="282" spans="1:3" x14ac:dyDescent="0.25">
      <c r="A282" s="35" t="s">
        <v>427</v>
      </c>
      <c r="B282" s="19">
        <v>2092</v>
      </c>
      <c r="C282" s="46">
        <v>202174.867</v>
      </c>
    </row>
    <row r="283" spans="1:3" x14ac:dyDescent="0.25">
      <c r="A283" s="32" t="s">
        <v>576</v>
      </c>
      <c r="B283" s="19">
        <v>4803</v>
      </c>
      <c r="C283" s="46">
        <v>434130.72655000002</v>
      </c>
    </row>
    <row r="284" spans="1:3" x14ac:dyDescent="0.25">
      <c r="A284" s="32" t="s">
        <v>575</v>
      </c>
      <c r="B284" s="19">
        <v>43</v>
      </c>
      <c r="C284" s="46">
        <v>377.96100000000001</v>
      </c>
    </row>
    <row r="285" spans="1:3" x14ac:dyDescent="0.25">
      <c r="A285" s="32" t="s">
        <v>574</v>
      </c>
      <c r="B285" s="19">
        <v>723</v>
      </c>
      <c r="C285" s="46">
        <v>3328.6469999999999</v>
      </c>
    </row>
    <row r="286" spans="1:3" x14ac:dyDescent="0.25">
      <c r="A286" s="33" t="s">
        <v>572</v>
      </c>
      <c r="B286" s="19">
        <v>36</v>
      </c>
      <c r="C286" s="46">
        <v>86.203999999999994</v>
      </c>
    </row>
    <row r="287" spans="1:3" x14ac:dyDescent="0.25">
      <c r="A287" s="33" t="s">
        <v>571</v>
      </c>
      <c r="B287" s="19">
        <v>35</v>
      </c>
      <c r="C287" s="46">
        <v>103.384</v>
      </c>
    </row>
    <row r="288" spans="1:3" x14ac:dyDescent="0.25">
      <c r="A288" s="33" t="s">
        <v>573</v>
      </c>
      <c r="B288" s="19">
        <v>11</v>
      </c>
      <c r="C288" s="46">
        <v>35.75</v>
      </c>
    </row>
    <row r="289" spans="1:3" x14ac:dyDescent="0.25">
      <c r="A289" s="32" t="s">
        <v>570</v>
      </c>
      <c r="B289" s="19">
        <v>1386</v>
      </c>
      <c r="C289" s="46">
        <v>30087.522000000001</v>
      </c>
    </row>
    <row r="290" spans="1:3" x14ac:dyDescent="0.25">
      <c r="A290" s="32" t="s">
        <v>569</v>
      </c>
      <c r="B290" s="19">
        <v>1063</v>
      </c>
      <c r="C290" s="46">
        <v>4828.4579999999996</v>
      </c>
    </row>
    <row r="291" spans="1:3" x14ac:dyDescent="0.25">
      <c r="A291" s="33" t="s">
        <v>568</v>
      </c>
      <c r="B291" s="19">
        <v>4264</v>
      </c>
      <c r="C291" s="46">
        <v>63088.764000000003</v>
      </c>
    </row>
    <row r="292" spans="1:3" x14ac:dyDescent="0.25">
      <c r="A292" s="43" t="s">
        <v>567</v>
      </c>
      <c r="B292" s="19">
        <v>1457</v>
      </c>
      <c r="C292" s="46">
        <v>107693.33199999999</v>
      </c>
    </row>
    <row r="293" spans="1:3" x14ac:dyDescent="0.25">
      <c r="A293" s="34" t="s">
        <v>424</v>
      </c>
      <c r="B293" s="19">
        <v>1233</v>
      </c>
      <c r="C293" s="46">
        <v>87922.201000000001</v>
      </c>
    </row>
    <row r="294" spans="1:3" x14ac:dyDescent="0.25">
      <c r="A294" s="41" t="s">
        <v>566</v>
      </c>
      <c r="B294" s="19">
        <v>2568</v>
      </c>
      <c r="C294" s="46">
        <v>91752.534</v>
      </c>
    </row>
    <row r="295" spans="1:3" x14ac:dyDescent="0.25">
      <c r="A295" s="32" t="s">
        <v>565</v>
      </c>
      <c r="B295" s="19">
        <v>1206</v>
      </c>
      <c r="C295" s="46">
        <v>23917.487499999999</v>
      </c>
    </row>
    <row r="296" spans="1:3" x14ac:dyDescent="0.25">
      <c r="A296" s="32" t="s">
        <v>762</v>
      </c>
      <c r="B296" s="19">
        <v>27862</v>
      </c>
      <c r="C296" s="46">
        <v>375850.83637000003</v>
      </c>
    </row>
    <row r="297" spans="1:3" x14ac:dyDescent="0.25">
      <c r="A297" s="32" t="s">
        <v>564</v>
      </c>
      <c r="B297" s="19">
        <v>159917</v>
      </c>
      <c r="C297" s="46">
        <v>670429.55353999999</v>
      </c>
    </row>
    <row r="298" spans="1:3" x14ac:dyDescent="0.25">
      <c r="A298" s="32" t="s">
        <v>563</v>
      </c>
      <c r="B298" s="19">
        <v>197</v>
      </c>
      <c r="C298" s="46">
        <v>1725.36833</v>
      </c>
    </row>
    <row r="299" spans="1:3" x14ac:dyDescent="0.25">
      <c r="A299" s="33" t="s">
        <v>562</v>
      </c>
      <c r="B299" s="19">
        <v>33</v>
      </c>
      <c r="C299" s="46">
        <v>150.613</v>
      </c>
    </row>
    <row r="300" spans="1:3" x14ac:dyDescent="0.25">
      <c r="A300" s="33" t="s">
        <v>561</v>
      </c>
      <c r="B300" s="19">
        <v>2453</v>
      </c>
      <c r="C300" s="46">
        <v>41602.012159999998</v>
      </c>
    </row>
    <row r="301" spans="1:3" x14ac:dyDescent="0.25">
      <c r="A301" s="32" t="s">
        <v>560</v>
      </c>
      <c r="B301" s="19">
        <v>108194</v>
      </c>
      <c r="C301" s="46">
        <v>787953.15577000007</v>
      </c>
    </row>
    <row r="302" spans="1:3" x14ac:dyDescent="0.25">
      <c r="A302" s="32" t="s">
        <v>559</v>
      </c>
      <c r="B302" s="19">
        <v>1040</v>
      </c>
      <c r="C302" s="46">
        <v>14103.574279999999</v>
      </c>
    </row>
    <row r="303" spans="1:3" x14ac:dyDescent="0.25">
      <c r="A303" s="32" t="s">
        <v>558</v>
      </c>
      <c r="B303" s="19">
        <v>264508</v>
      </c>
      <c r="C303" s="46">
        <v>3114929.1995499996</v>
      </c>
    </row>
    <row r="304" spans="1:3" x14ac:dyDescent="0.25">
      <c r="A304" s="32" t="s">
        <v>446</v>
      </c>
      <c r="B304" s="19">
        <v>351</v>
      </c>
      <c r="C304" s="46">
        <v>2753.6669999999999</v>
      </c>
    </row>
    <row r="305" spans="1:3" x14ac:dyDescent="0.25">
      <c r="A305" s="33" t="s">
        <v>746</v>
      </c>
      <c r="B305" s="19">
        <v>18187535</v>
      </c>
      <c r="C305" s="46">
        <v>106774818.1127</v>
      </c>
    </row>
    <row r="306" spans="1:3" x14ac:dyDescent="0.25">
      <c r="A306" s="32" t="s">
        <v>557</v>
      </c>
      <c r="B306" s="19">
        <v>445</v>
      </c>
      <c r="C306" s="46">
        <v>7898.5502900000001</v>
      </c>
    </row>
    <row r="307" spans="1:3" x14ac:dyDescent="0.25">
      <c r="A307" s="33" t="s">
        <v>556</v>
      </c>
      <c r="B307" s="19">
        <v>144</v>
      </c>
      <c r="C307" s="46">
        <v>3380.4949999999999</v>
      </c>
    </row>
    <row r="308" spans="1:3" x14ac:dyDescent="0.25">
      <c r="A308" s="34" t="s">
        <v>441</v>
      </c>
      <c r="B308" s="19">
        <v>347</v>
      </c>
      <c r="C308" s="46">
        <v>7312.9459999999999</v>
      </c>
    </row>
    <row r="309" spans="1:3" x14ac:dyDescent="0.25">
      <c r="A309" s="33" t="s">
        <v>555</v>
      </c>
      <c r="B309" s="19">
        <v>6642</v>
      </c>
      <c r="C309" s="46">
        <v>357267.69699999999</v>
      </c>
    </row>
    <row r="310" spans="1:3" x14ac:dyDescent="0.25">
      <c r="A310" s="33" t="s">
        <v>553</v>
      </c>
      <c r="B310" s="19">
        <v>541250</v>
      </c>
      <c r="C310" s="46">
        <v>4758261.6491599996</v>
      </c>
    </row>
    <row r="311" spans="1:3" x14ac:dyDescent="0.25">
      <c r="A311" s="32" t="s">
        <v>378</v>
      </c>
      <c r="B311" s="19">
        <v>864106</v>
      </c>
      <c r="C311" s="46">
        <v>1606835.5539699998</v>
      </c>
    </row>
    <row r="312" spans="1:3" x14ac:dyDescent="0.25">
      <c r="A312" s="32" t="s">
        <v>551</v>
      </c>
      <c r="B312" s="19">
        <v>475</v>
      </c>
      <c r="C312" s="46">
        <v>2368.9940000000001</v>
      </c>
    </row>
    <row r="313" spans="1:3" x14ac:dyDescent="0.25">
      <c r="A313" s="32" t="s">
        <v>552</v>
      </c>
      <c r="B313" s="19">
        <v>13479</v>
      </c>
      <c r="C313" s="46">
        <v>221090.152</v>
      </c>
    </row>
    <row r="314" spans="1:3" x14ac:dyDescent="0.25">
      <c r="A314" s="32" t="s">
        <v>550</v>
      </c>
      <c r="B314" s="19">
        <v>12247</v>
      </c>
      <c r="C314" s="46">
        <v>911660.68318000005</v>
      </c>
    </row>
    <row r="315" spans="1:3" x14ac:dyDescent="0.25">
      <c r="A315" s="33" t="s">
        <v>554</v>
      </c>
      <c r="B315" s="19">
        <v>1076</v>
      </c>
      <c r="C315" s="46">
        <v>12613.397000000001</v>
      </c>
    </row>
    <row r="316" spans="1:3" x14ac:dyDescent="0.25">
      <c r="A316" s="33" t="s">
        <v>548</v>
      </c>
      <c r="B316" s="19">
        <v>3</v>
      </c>
      <c r="C316" s="46">
        <v>40.5</v>
      </c>
    </row>
    <row r="317" spans="1:3" x14ac:dyDescent="0.25">
      <c r="A317" s="34" t="s">
        <v>426</v>
      </c>
      <c r="B317" s="19">
        <v>388</v>
      </c>
      <c r="C317" s="46">
        <v>5486.933</v>
      </c>
    </row>
    <row r="318" spans="1:3" x14ac:dyDescent="0.25">
      <c r="A318" s="32" t="s">
        <v>549</v>
      </c>
      <c r="B318" s="19">
        <v>5808</v>
      </c>
      <c r="C318" s="46">
        <v>96985.553180000003</v>
      </c>
    </row>
    <row r="319" spans="1:3" x14ac:dyDescent="0.25">
      <c r="A319" s="33" t="s">
        <v>723</v>
      </c>
      <c r="B319" s="19">
        <v>847</v>
      </c>
      <c r="C319" s="46">
        <v>12150.049000000001</v>
      </c>
    </row>
    <row r="320" spans="1:3" x14ac:dyDescent="0.25">
      <c r="A320" s="32" t="s">
        <v>547</v>
      </c>
      <c r="B320" s="19">
        <v>41</v>
      </c>
      <c r="C320" s="46">
        <v>91.255600000000001</v>
      </c>
    </row>
    <row r="321" spans="1:3" x14ac:dyDescent="0.25">
      <c r="A321" s="32" t="s">
        <v>546</v>
      </c>
      <c r="B321" s="19">
        <v>5681</v>
      </c>
      <c r="C321" s="46">
        <v>613092.06501000002</v>
      </c>
    </row>
    <row r="322" spans="1:3" x14ac:dyDescent="0.25">
      <c r="A322" s="32" t="s">
        <v>545</v>
      </c>
      <c r="B322" s="19">
        <v>129</v>
      </c>
      <c r="C322" s="46">
        <v>396.95699999999999</v>
      </c>
    </row>
    <row r="323" spans="1:3" x14ac:dyDescent="0.25">
      <c r="A323" s="34" t="s">
        <v>543</v>
      </c>
      <c r="B323" s="19">
        <v>940</v>
      </c>
      <c r="C323" s="46">
        <v>57728.132299999997</v>
      </c>
    </row>
    <row r="324" spans="1:3" x14ac:dyDescent="0.25">
      <c r="A324" s="34" t="s">
        <v>542</v>
      </c>
      <c r="B324" s="19">
        <v>1058</v>
      </c>
      <c r="C324" s="46">
        <v>11377.848</v>
      </c>
    </row>
    <row r="325" spans="1:3" x14ac:dyDescent="0.25">
      <c r="A325" s="32" t="s">
        <v>541</v>
      </c>
      <c r="B325" s="19">
        <v>18989</v>
      </c>
      <c r="C325" s="46">
        <v>197236.489</v>
      </c>
    </row>
    <row r="326" spans="1:3" x14ac:dyDescent="0.25">
      <c r="A326" s="32" t="s">
        <v>709</v>
      </c>
      <c r="B326" s="19">
        <v>51972</v>
      </c>
      <c r="C326" s="46">
        <v>157895.81764999998</v>
      </c>
    </row>
    <row r="327" spans="1:3" x14ac:dyDescent="0.25">
      <c r="A327" s="32" t="s">
        <v>540</v>
      </c>
      <c r="B327" s="19">
        <v>54</v>
      </c>
      <c r="C327" s="46">
        <v>666.38099999999997</v>
      </c>
    </row>
    <row r="328" spans="1:3" x14ac:dyDescent="0.25">
      <c r="A328" s="32" t="s">
        <v>445</v>
      </c>
      <c r="B328" s="19">
        <v>337</v>
      </c>
      <c r="C328" s="46">
        <v>4402.5429999999997</v>
      </c>
    </row>
    <row r="329" spans="1:3" x14ac:dyDescent="0.25">
      <c r="A329" s="32" t="s">
        <v>539</v>
      </c>
      <c r="B329" s="19">
        <v>399</v>
      </c>
      <c r="C329" s="46">
        <v>7211.3909999999996</v>
      </c>
    </row>
    <row r="330" spans="1:3" x14ac:dyDescent="0.25">
      <c r="A330" s="32" t="s">
        <v>538</v>
      </c>
      <c r="B330" s="19">
        <v>356</v>
      </c>
      <c r="C330" s="46">
        <v>7026.7259999999997</v>
      </c>
    </row>
    <row r="331" spans="1:3" x14ac:dyDescent="0.25">
      <c r="A331" s="33" t="s">
        <v>537</v>
      </c>
      <c r="B331" s="19">
        <v>636</v>
      </c>
      <c r="C331" s="46">
        <v>3258.50137</v>
      </c>
    </row>
    <row r="332" spans="1:3" x14ac:dyDescent="0.25">
      <c r="A332" s="32" t="s">
        <v>535</v>
      </c>
      <c r="B332" s="19">
        <v>8839</v>
      </c>
      <c r="C332" s="46">
        <v>78385.428459999996</v>
      </c>
    </row>
    <row r="333" spans="1:3" x14ac:dyDescent="0.25">
      <c r="A333" s="33" t="s">
        <v>534</v>
      </c>
      <c r="B333" s="19">
        <v>1751</v>
      </c>
      <c r="C333" s="46">
        <v>122918.60676000001</v>
      </c>
    </row>
    <row r="334" spans="1:3" x14ac:dyDescent="0.25">
      <c r="A334" s="33" t="s">
        <v>533</v>
      </c>
      <c r="B334" s="19">
        <v>7860</v>
      </c>
      <c r="C334" s="46">
        <v>100029.56107000001</v>
      </c>
    </row>
    <row r="335" spans="1:3" x14ac:dyDescent="0.25">
      <c r="A335" s="32" t="s">
        <v>388</v>
      </c>
      <c r="B335" s="19">
        <v>20082</v>
      </c>
      <c r="C335" s="46">
        <v>236657.79566999999</v>
      </c>
    </row>
    <row r="336" spans="1:3" x14ac:dyDescent="0.25">
      <c r="A336" s="32" t="s">
        <v>536</v>
      </c>
      <c r="B336" s="19">
        <v>971</v>
      </c>
      <c r="C336" s="46">
        <v>16583.545999999998</v>
      </c>
    </row>
    <row r="337" spans="1:3" x14ac:dyDescent="0.25">
      <c r="A337" s="37" t="s">
        <v>532</v>
      </c>
      <c r="B337" s="19">
        <v>9129</v>
      </c>
      <c r="C337" s="46">
        <v>350069.25900000002</v>
      </c>
    </row>
    <row r="338" spans="1:3" x14ac:dyDescent="0.25">
      <c r="A338" s="32" t="s">
        <v>531</v>
      </c>
      <c r="B338" s="19">
        <v>4870</v>
      </c>
      <c r="C338" s="46">
        <v>485806.14899999998</v>
      </c>
    </row>
    <row r="339" spans="1:3" x14ac:dyDescent="0.25">
      <c r="A339" s="32" t="s">
        <v>530</v>
      </c>
      <c r="B339" s="19">
        <v>11066</v>
      </c>
      <c r="C339" s="46">
        <v>92058.698850000001</v>
      </c>
    </row>
    <row r="340" spans="1:3" x14ac:dyDescent="0.25">
      <c r="A340" s="33" t="s">
        <v>529</v>
      </c>
      <c r="B340" s="19">
        <v>14883</v>
      </c>
      <c r="C340" s="46">
        <v>1100666.20031</v>
      </c>
    </row>
    <row r="341" spans="1:3" x14ac:dyDescent="0.25">
      <c r="A341" s="32" t="s">
        <v>528</v>
      </c>
      <c r="B341" s="19">
        <v>18725</v>
      </c>
      <c r="C341" s="46">
        <v>1499974.4792600002</v>
      </c>
    </row>
    <row r="342" spans="1:3" x14ac:dyDescent="0.25">
      <c r="A342" s="32" t="s">
        <v>526</v>
      </c>
      <c r="B342" s="19">
        <v>15462</v>
      </c>
      <c r="C342" s="46">
        <v>295872.61691000004</v>
      </c>
    </row>
    <row r="343" spans="1:3" x14ac:dyDescent="0.25">
      <c r="A343" s="32" t="s">
        <v>443</v>
      </c>
      <c r="B343" s="19">
        <v>31</v>
      </c>
      <c r="C343" s="46">
        <v>625.02599999999995</v>
      </c>
    </row>
    <row r="344" spans="1:3" x14ac:dyDescent="0.25">
      <c r="A344" s="41" t="s">
        <v>525</v>
      </c>
      <c r="B344" s="19">
        <v>3370</v>
      </c>
      <c r="C344" s="46">
        <v>47338.017</v>
      </c>
    </row>
    <row r="345" spans="1:3" x14ac:dyDescent="0.25">
      <c r="A345" s="41" t="s">
        <v>524</v>
      </c>
      <c r="B345" s="19">
        <v>6279</v>
      </c>
      <c r="C345" s="46">
        <v>184304.38631999999</v>
      </c>
    </row>
    <row r="346" spans="1:3" x14ac:dyDescent="0.25">
      <c r="A346" s="33" t="s">
        <v>519</v>
      </c>
      <c r="B346" s="19">
        <v>1083</v>
      </c>
      <c r="C346" s="46">
        <v>9215.0239999999994</v>
      </c>
    </row>
    <row r="347" spans="1:3" x14ac:dyDescent="0.25">
      <c r="A347" s="41" t="s">
        <v>523</v>
      </c>
      <c r="B347" s="19">
        <v>353</v>
      </c>
      <c r="C347" s="46">
        <v>19467.54</v>
      </c>
    </row>
    <row r="348" spans="1:3" x14ac:dyDescent="0.25">
      <c r="A348" s="34" t="s">
        <v>522</v>
      </c>
      <c r="B348" s="19">
        <v>17807</v>
      </c>
      <c r="C348" s="46">
        <v>2147914.2414600002</v>
      </c>
    </row>
    <row r="349" spans="1:3" x14ac:dyDescent="0.25">
      <c r="A349" s="41" t="s">
        <v>521</v>
      </c>
      <c r="B349" s="19">
        <v>1474</v>
      </c>
      <c r="C349" s="46">
        <v>25829.440999999999</v>
      </c>
    </row>
    <row r="350" spans="1:3" x14ac:dyDescent="0.25">
      <c r="A350" s="34" t="s">
        <v>678</v>
      </c>
      <c r="B350" s="19">
        <v>1507</v>
      </c>
      <c r="C350" s="46">
        <v>14987.159679999999</v>
      </c>
    </row>
    <row r="351" spans="1:3" x14ac:dyDescent="0.25">
      <c r="A351" s="32" t="s">
        <v>520</v>
      </c>
      <c r="B351" s="19">
        <v>220</v>
      </c>
      <c r="C351" s="46">
        <v>899.42700000000002</v>
      </c>
    </row>
    <row r="352" spans="1:3" x14ac:dyDescent="0.25">
      <c r="A352" s="34" t="s">
        <v>431</v>
      </c>
      <c r="B352" s="19">
        <v>105</v>
      </c>
      <c r="C352" s="46">
        <v>1683.6304299999999</v>
      </c>
    </row>
    <row r="353" spans="1:3" x14ac:dyDescent="0.25">
      <c r="A353" s="32" t="s">
        <v>518</v>
      </c>
      <c r="B353" s="19">
        <v>436</v>
      </c>
      <c r="C353" s="46">
        <v>92408.386499999993</v>
      </c>
    </row>
    <row r="354" spans="1:3" x14ac:dyDescent="0.25">
      <c r="A354" s="32" t="s">
        <v>516</v>
      </c>
      <c r="B354" s="19">
        <v>8</v>
      </c>
      <c r="C354" s="46">
        <v>193.1</v>
      </c>
    </row>
    <row r="355" spans="1:3" x14ac:dyDescent="0.25">
      <c r="A355" s="34" t="s">
        <v>515</v>
      </c>
      <c r="B355" s="19">
        <v>1374</v>
      </c>
      <c r="C355" s="46">
        <v>73240.271999999997</v>
      </c>
    </row>
    <row r="356" spans="1:3" x14ac:dyDescent="0.25">
      <c r="A356" s="32" t="s">
        <v>514</v>
      </c>
      <c r="B356" s="19">
        <v>1028</v>
      </c>
      <c r="C356" s="46">
        <v>25973.759999999998</v>
      </c>
    </row>
    <row r="357" spans="1:3" x14ac:dyDescent="0.25">
      <c r="A357" s="33" t="s">
        <v>501</v>
      </c>
      <c r="B357" s="19">
        <v>28377</v>
      </c>
      <c r="C357" s="46">
        <v>1222632.4288900001</v>
      </c>
    </row>
    <row r="358" spans="1:3" x14ac:dyDescent="0.25">
      <c r="A358" s="32" t="s">
        <v>513</v>
      </c>
      <c r="B358" s="19">
        <v>568</v>
      </c>
      <c r="C358" s="46">
        <v>2400.2031000000002</v>
      </c>
    </row>
    <row r="359" spans="1:3" x14ac:dyDescent="0.25">
      <c r="A359" s="33" t="s">
        <v>512</v>
      </c>
      <c r="B359" s="19">
        <v>4396</v>
      </c>
      <c r="C359" s="46">
        <v>127644.62516</v>
      </c>
    </row>
    <row r="360" spans="1:3" x14ac:dyDescent="0.25">
      <c r="A360" s="34" t="s">
        <v>511</v>
      </c>
      <c r="B360" s="19">
        <v>169</v>
      </c>
      <c r="C360" s="46">
        <v>7507.8440000000001</v>
      </c>
    </row>
    <row r="361" spans="1:3" x14ac:dyDescent="0.25">
      <c r="A361" s="32" t="s">
        <v>510</v>
      </c>
      <c r="B361" s="19">
        <v>899</v>
      </c>
      <c r="C361" s="46">
        <v>149876.97195999997</v>
      </c>
    </row>
    <row r="362" spans="1:3" x14ac:dyDescent="0.25">
      <c r="A362" s="33" t="s">
        <v>509</v>
      </c>
      <c r="B362" s="19">
        <v>10611</v>
      </c>
      <c r="C362" s="46">
        <v>474938.63500000001</v>
      </c>
    </row>
    <row r="363" spans="1:3" x14ac:dyDescent="0.25">
      <c r="A363" s="33" t="s">
        <v>508</v>
      </c>
      <c r="B363" s="19">
        <v>15448</v>
      </c>
      <c r="C363" s="46">
        <v>150892.40650000001</v>
      </c>
    </row>
    <row r="364" spans="1:3" x14ac:dyDescent="0.25">
      <c r="A364" s="32" t="s">
        <v>507</v>
      </c>
      <c r="B364" s="19">
        <v>3267</v>
      </c>
      <c r="C364" s="46">
        <v>113550.16321000001</v>
      </c>
    </row>
    <row r="365" spans="1:3" x14ac:dyDescent="0.25">
      <c r="A365" s="32" t="s">
        <v>506</v>
      </c>
      <c r="B365" s="19">
        <v>1091</v>
      </c>
      <c r="C365" s="46">
        <v>15757.973</v>
      </c>
    </row>
    <row r="366" spans="1:3" x14ac:dyDescent="0.25">
      <c r="A366" s="32" t="s">
        <v>505</v>
      </c>
      <c r="B366" s="19">
        <v>6878</v>
      </c>
      <c r="C366" s="46">
        <v>75044.390200000009</v>
      </c>
    </row>
    <row r="367" spans="1:3" x14ac:dyDescent="0.25">
      <c r="A367" s="32" t="s">
        <v>504</v>
      </c>
      <c r="B367" s="19">
        <v>1426</v>
      </c>
      <c r="C367" s="46">
        <v>17464.272000000001</v>
      </c>
    </row>
    <row r="368" spans="1:3" x14ac:dyDescent="0.25">
      <c r="A368" s="32" t="s">
        <v>503</v>
      </c>
      <c r="B368" s="19">
        <v>186</v>
      </c>
      <c r="C368" s="46">
        <v>4934.6057899999996</v>
      </c>
    </row>
    <row r="369" spans="1:3" x14ac:dyDescent="0.25">
      <c r="A369" s="33" t="s">
        <v>502</v>
      </c>
      <c r="B369" s="19">
        <v>18021</v>
      </c>
      <c r="C369" s="46">
        <v>46217.025840000002</v>
      </c>
    </row>
    <row r="370" spans="1:3" x14ac:dyDescent="0.25">
      <c r="A370" s="44" t="s">
        <v>500</v>
      </c>
      <c r="B370" s="19">
        <v>1176</v>
      </c>
      <c r="C370" s="46">
        <v>7219.2630399999998</v>
      </c>
    </row>
    <row r="371" spans="1:3" x14ac:dyDescent="0.25">
      <c r="A371" s="33" t="s">
        <v>499</v>
      </c>
      <c r="B371" s="19">
        <v>11394</v>
      </c>
      <c r="C371" s="46">
        <v>259996.66379999998</v>
      </c>
    </row>
    <row r="372" spans="1:3" x14ac:dyDescent="0.25">
      <c r="A372" s="34" t="s">
        <v>498</v>
      </c>
      <c r="B372" s="19">
        <v>3401</v>
      </c>
      <c r="C372" s="46">
        <v>125211.72492000001</v>
      </c>
    </row>
    <row r="373" spans="1:3" x14ac:dyDescent="0.25">
      <c r="A373" s="33" t="s">
        <v>496</v>
      </c>
      <c r="B373" s="19">
        <v>36527</v>
      </c>
      <c r="C373" s="46">
        <v>1226357.7560000001</v>
      </c>
    </row>
    <row r="374" spans="1:3" x14ac:dyDescent="0.25">
      <c r="A374" s="33" t="s">
        <v>495</v>
      </c>
      <c r="B374" s="19">
        <v>486</v>
      </c>
      <c r="C374" s="46">
        <v>2079.3195599999999</v>
      </c>
    </row>
    <row r="375" spans="1:3" x14ac:dyDescent="0.25">
      <c r="A375" s="32" t="s">
        <v>614</v>
      </c>
      <c r="B375" s="19">
        <v>1806</v>
      </c>
      <c r="C375" s="46">
        <v>40046.531999999999</v>
      </c>
    </row>
    <row r="376" spans="1:3" x14ac:dyDescent="0.25">
      <c r="A376" s="32" t="s">
        <v>612</v>
      </c>
      <c r="B376" s="19">
        <v>13583</v>
      </c>
      <c r="C376" s="46">
        <v>105141.85481999999</v>
      </c>
    </row>
    <row r="377" spans="1:3" x14ac:dyDescent="0.25">
      <c r="A377" s="33" t="s">
        <v>494</v>
      </c>
      <c r="B377" s="19">
        <v>104</v>
      </c>
      <c r="C377" s="46">
        <v>420.12900000000002</v>
      </c>
    </row>
    <row r="378" spans="1:3" x14ac:dyDescent="0.25">
      <c r="A378" s="33" t="s">
        <v>493</v>
      </c>
      <c r="B378" s="19">
        <v>114</v>
      </c>
      <c r="C378" s="46">
        <v>472.10199999999998</v>
      </c>
    </row>
    <row r="379" spans="1:3" x14ac:dyDescent="0.25">
      <c r="A379" s="33" t="s">
        <v>492</v>
      </c>
      <c r="B379" s="19">
        <v>10997</v>
      </c>
      <c r="C379" s="46">
        <v>206012.79551</v>
      </c>
    </row>
    <row r="380" spans="1:3" x14ac:dyDescent="0.25">
      <c r="A380" s="33" t="s">
        <v>476</v>
      </c>
      <c r="B380" s="19">
        <v>867</v>
      </c>
      <c r="C380" s="46">
        <v>3854.7570000000001</v>
      </c>
    </row>
    <row r="381" spans="1:3" x14ac:dyDescent="0.25">
      <c r="A381" s="32" t="s">
        <v>491</v>
      </c>
      <c r="B381" s="19">
        <v>12286</v>
      </c>
      <c r="C381" s="46">
        <v>86350.144050000017</v>
      </c>
    </row>
    <row r="382" spans="1:3" x14ac:dyDescent="0.25">
      <c r="A382" s="33" t="s">
        <v>490</v>
      </c>
      <c r="B382" s="19">
        <v>24254</v>
      </c>
      <c r="C382" s="46">
        <v>123209.73927000001</v>
      </c>
    </row>
    <row r="383" spans="1:3" x14ac:dyDescent="0.25">
      <c r="A383" s="33" t="s">
        <v>489</v>
      </c>
      <c r="B383" s="19">
        <v>17869</v>
      </c>
      <c r="C383" s="46">
        <v>385407.59732000006</v>
      </c>
    </row>
    <row r="384" spans="1:3" x14ac:dyDescent="0.25">
      <c r="A384" s="33" t="s">
        <v>488</v>
      </c>
      <c r="B384" s="19">
        <v>1512</v>
      </c>
      <c r="C384" s="46">
        <v>9188.6640000000007</v>
      </c>
    </row>
    <row r="385" spans="1:3" x14ac:dyDescent="0.25">
      <c r="A385" s="32" t="s">
        <v>487</v>
      </c>
      <c r="B385" s="19">
        <v>1784</v>
      </c>
      <c r="C385" s="46">
        <v>104331.129</v>
      </c>
    </row>
    <row r="386" spans="1:3" x14ac:dyDescent="0.25">
      <c r="A386" s="32" t="s">
        <v>486</v>
      </c>
      <c r="B386" s="19">
        <v>3644</v>
      </c>
      <c r="C386" s="46">
        <v>193092.66052</v>
      </c>
    </row>
    <row r="387" spans="1:3" x14ac:dyDescent="0.25">
      <c r="A387" s="32" t="s">
        <v>485</v>
      </c>
      <c r="B387" s="19">
        <v>34931</v>
      </c>
      <c r="C387" s="46">
        <v>56280.66246</v>
      </c>
    </row>
    <row r="388" spans="1:3" x14ac:dyDescent="0.25">
      <c r="A388" s="32" t="s">
        <v>484</v>
      </c>
      <c r="B388" s="19">
        <v>70195</v>
      </c>
      <c r="C388" s="46">
        <v>3386764.35145</v>
      </c>
    </row>
    <row r="389" spans="1:3" x14ac:dyDescent="0.25">
      <c r="A389" s="32" t="s">
        <v>483</v>
      </c>
      <c r="B389" s="19">
        <v>691</v>
      </c>
      <c r="C389" s="46">
        <v>2992.7220000000002</v>
      </c>
    </row>
    <row r="390" spans="1:3" x14ac:dyDescent="0.25">
      <c r="A390" s="32" t="s">
        <v>482</v>
      </c>
      <c r="B390" s="19">
        <v>7280</v>
      </c>
      <c r="C390" s="46">
        <v>541677.02573999995</v>
      </c>
    </row>
    <row r="391" spans="1:3" x14ac:dyDescent="0.25">
      <c r="A391" s="33" t="s">
        <v>481</v>
      </c>
      <c r="B391" s="19">
        <v>3150</v>
      </c>
      <c r="C391" s="46">
        <v>38687.343099999998</v>
      </c>
    </row>
    <row r="392" spans="1:3" x14ac:dyDescent="0.25">
      <c r="A392" s="45" t="s">
        <v>480</v>
      </c>
      <c r="B392" s="19">
        <v>100</v>
      </c>
      <c r="C392" s="46">
        <v>420.51299999999998</v>
      </c>
    </row>
    <row r="393" spans="1:3" x14ac:dyDescent="0.25">
      <c r="A393" s="32" t="s">
        <v>479</v>
      </c>
      <c r="B393" s="19">
        <v>238396</v>
      </c>
      <c r="C393" s="46">
        <v>487062.88650999998</v>
      </c>
    </row>
    <row r="394" spans="1:3" x14ac:dyDescent="0.25">
      <c r="A394" s="33" t="s">
        <v>478</v>
      </c>
      <c r="B394" s="19">
        <v>844</v>
      </c>
      <c r="C394" s="46">
        <v>22082.934280000001</v>
      </c>
    </row>
    <row r="395" spans="1:3" x14ac:dyDescent="0.25">
      <c r="A395" s="33" t="s">
        <v>477</v>
      </c>
      <c r="B395" s="19">
        <v>2236</v>
      </c>
      <c r="C395" s="46">
        <v>70296.535999999993</v>
      </c>
    </row>
    <row r="396" spans="1:3" x14ac:dyDescent="0.25">
      <c r="A396" s="32" t="s">
        <v>527</v>
      </c>
      <c r="B396" s="19">
        <v>5677</v>
      </c>
      <c r="C396" s="46">
        <v>193683.57643000002</v>
      </c>
    </row>
    <row r="397" spans="1:3" x14ac:dyDescent="0.25">
      <c r="A397" s="32" t="s">
        <v>475</v>
      </c>
      <c r="B397" s="19">
        <v>184</v>
      </c>
      <c r="C397" s="46">
        <v>763.50599999999997</v>
      </c>
    </row>
    <row r="398" spans="1:3" x14ac:dyDescent="0.25">
      <c r="A398" s="32" t="s">
        <v>474</v>
      </c>
      <c r="B398" s="19">
        <v>6189</v>
      </c>
      <c r="C398" s="46">
        <v>91322.742870000002</v>
      </c>
    </row>
    <row r="399" spans="1:3" x14ac:dyDescent="0.25">
      <c r="A399" s="32" t="s">
        <v>473</v>
      </c>
      <c r="B399" s="19">
        <v>265</v>
      </c>
      <c r="C399" s="46">
        <v>1375.171</v>
      </c>
    </row>
    <row r="400" spans="1:3" x14ac:dyDescent="0.25">
      <c r="A400" s="34" t="s">
        <v>435</v>
      </c>
      <c r="B400" s="19">
        <v>3236952</v>
      </c>
      <c r="C400" s="46">
        <v>5903921.0773200002</v>
      </c>
    </row>
    <row r="401" spans="1:3" x14ac:dyDescent="0.25">
      <c r="A401" s="33" t="s">
        <v>472</v>
      </c>
      <c r="B401" s="19">
        <v>217021</v>
      </c>
      <c r="C401" s="46">
        <v>390802.16403000004</v>
      </c>
    </row>
    <row r="402" spans="1:3" x14ac:dyDescent="0.25">
      <c r="A402" s="33" t="s">
        <v>471</v>
      </c>
      <c r="B402" s="19">
        <v>237</v>
      </c>
      <c r="C402" s="46">
        <v>1033.2449999999999</v>
      </c>
    </row>
    <row r="403" spans="1:3" x14ac:dyDescent="0.25">
      <c r="A403" s="33" t="s">
        <v>470</v>
      </c>
      <c r="B403" s="19">
        <v>5962</v>
      </c>
      <c r="C403" s="46">
        <v>254621.80534999998</v>
      </c>
    </row>
    <row r="404" spans="1:3" x14ac:dyDescent="0.25">
      <c r="A404" s="32" t="s">
        <v>212</v>
      </c>
      <c r="B404" s="19">
        <v>34209550</v>
      </c>
      <c r="C404" s="46">
        <v>74399761.387704998</v>
      </c>
    </row>
    <row r="405" spans="1:3" x14ac:dyDescent="0.25">
      <c r="A405" s="32" t="s">
        <v>415</v>
      </c>
      <c r="B405" s="19">
        <v>7983404</v>
      </c>
      <c r="C405" s="46">
        <v>20831791.576139998</v>
      </c>
    </row>
    <row r="406" spans="1:3" x14ac:dyDescent="0.25">
      <c r="A406" s="33" t="s">
        <v>469</v>
      </c>
      <c r="B406" s="19">
        <v>198661516</v>
      </c>
      <c r="C406" s="46">
        <v>464305531.32563001</v>
      </c>
    </row>
    <row r="407" spans="1:3" x14ac:dyDescent="0.25">
      <c r="A407" s="32" t="s">
        <v>468</v>
      </c>
      <c r="B407" s="19">
        <v>1201</v>
      </c>
      <c r="C407" s="46">
        <v>154851.65153</v>
      </c>
    </row>
    <row r="408" spans="1:3" x14ac:dyDescent="0.25">
      <c r="A408" s="32" t="s">
        <v>467</v>
      </c>
      <c r="B408" s="19">
        <v>42729</v>
      </c>
      <c r="C408" s="46">
        <v>732620.44449000002</v>
      </c>
    </row>
    <row r="409" spans="1:3" x14ac:dyDescent="0.25">
      <c r="A409" s="32" t="s">
        <v>466</v>
      </c>
      <c r="B409" s="19">
        <v>48085</v>
      </c>
      <c r="C409" s="46">
        <v>557175.07900000003</v>
      </c>
    </row>
    <row r="410" spans="1:3" x14ac:dyDescent="0.25">
      <c r="A410" s="33" t="s">
        <v>465</v>
      </c>
      <c r="B410" s="19">
        <v>11606</v>
      </c>
      <c r="C410" s="46">
        <v>768204.00933000003</v>
      </c>
    </row>
    <row r="411" spans="1:3" x14ac:dyDescent="0.25">
      <c r="A411" s="32" t="s">
        <v>464</v>
      </c>
      <c r="B411" s="19">
        <v>1107</v>
      </c>
      <c r="C411" s="46">
        <v>9969.4884099999999</v>
      </c>
    </row>
    <row r="412" spans="1:3" x14ac:dyDescent="0.25">
      <c r="A412" s="32" t="s">
        <v>463</v>
      </c>
      <c r="B412" s="19">
        <v>796</v>
      </c>
      <c r="C412" s="46">
        <v>5994.2259999999997</v>
      </c>
    </row>
    <row r="413" spans="1:3" x14ac:dyDescent="0.25">
      <c r="A413" s="32" t="s">
        <v>462</v>
      </c>
      <c r="B413" s="19">
        <v>3441</v>
      </c>
      <c r="C413" s="46">
        <v>65193.286340000006</v>
      </c>
    </row>
    <row r="414" spans="1:3" x14ac:dyDescent="0.25">
      <c r="A414" s="32" t="s">
        <v>461</v>
      </c>
      <c r="B414" s="19">
        <v>454</v>
      </c>
      <c r="C414" s="46">
        <v>5690.0582100000001</v>
      </c>
    </row>
    <row r="415" spans="1:3" x14ac:dyDescent="0.25">
      <c r="A415" s="32" t="s">
        <v>460</v>
      </c>
      <c r="B415" s="19">
        <v>7693</v>
      </c>
      <c r="C415" s="46">
        <v>135457.58506000001</v>
      </c>
    </row>
    <row r="416" spans="1:3" x14ac:dyDescent="0.25">
      <c r="A416" s="32" t="s">
        <v>458</v>
      </c>
      <c r="B416" s="19">
        <v>14940</v>
      </c>
      <c r="C416" s="46">
        <v>305654.78467999992</v>
      </c>
    </row>
    <row r="417" spans="1:3" x14ac:dyDescent="0.25">
      <c r="A417" s="32" t="s">
        <v>459</v>
      </c>
      <c r="B417" s="19">
        <v>1011</v>
      </c>
      <c r="C417" s="46">
        <v>12134.454</v>
      </c>
    </row>
    <row r="418" spans="1:3" x14ac:dyDescent="0.25">
      <c r="A418" s="32" t="s">
        <v>457</v>
      </c>
      <c r="B418" s="19">
        <v>1856</v>
      </c>
      <c r="C418" s="46">
        <v>62655.402000000002</v>
      </c>
    </row>
    <row r="419" spans="1:3" x14ac:dyDescent="0.25">
      <c r="A419" s="34" t="s">
        <v>456</v>
      </c>
      <c r="B419" s="19">
        <v>1915</v>
      </c>
      <c r="C419" s="46">
        <v>75184.3</v>
      </c>
    </row>
    <row r="420" spans="1:3" x14ac:dyDescent="0.25">
      <c r="A420" s="33" t="s">
        <v>455</v>
      </c>
      <c r="B420" s="19">
        <v>55153</v>
      </c>
      <c r="C420" s="46">
        <v>352108.38150000013</v>
      </c>
    </row>
    <row r="421" spans="1:3" x14ac:dyDescent="0.25">
      <c r="A421" s="32" t="s">
        <v>447</v>
      </c>
      <c r="B421" s="19">
        <v>3296</v>
      </c>
      <c r="C421" s="46">
        <v>2.5568599999999999</v>
      </c>
    </row>
    <row r="422" spans="1:3" x14ac:dyDescent="0.25">
      <c r="A422" s="32" t="s">
        <v>454</v>
      </c>
      <c r="B422" s="19">
        <v>605</v>
      </c>
      <c r="C422" s="46">
        <v>5678.3490000000002</v>
      </c>
    </row>
    <row r="423" spans="1:3" x14ac:dyDescent="0.25">
      <c r="A423" s="32" t="s">
        <v>453</v>
      </c>
      <c r="B423" s="19">
        <v>1386</v>
      </c>
      <c r="C423" s="46">
        <v>28133.391489999998</v>
      </c>
    </row>
    <row r="424" spans="1:3" x14ac:dyDescent="0.25">
      <c r="A424" s="33" t="s">
        <v>221</v>
      </c>
      <c r="B424" s="19">
        <v>510</v>
      </c>
      <c r="C424" s="46">
        <v>26627.259030000001</v>
      </c>
    </row>
    <row r="425" spans="1:3" x14ac:dyDescent="0.25">
      <c r="A425" s="32" t="s">
        <v>452</v>
      </c>
      <c r="B425" s="19">
        <v>17661786</v>
      </c>
      <c r="C425" s="46">
        <v>91896802.071729943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B6DB-A67D-4A13-9929-E64BA4423AB2}">
  <dimension ref="A1:F19"/>
  <sheetViews>
    <sheetView showGridLines="0" tabSelected="1" topLeftCell="B9" workbookViewId="0">
      <selection activeCell="E19" sqref="E19"/>
    </sheetView>
  </sheetViews>
  <sheetFormatPr defaultRowHeight="14.4" x14ac:dyDescent="0.3"/>
  <cols>
    <col min="1" max="1" width="24" bestFit="1" customWidth="1"/>
    <col min="2" max="2" width="31.21875" bestFit="1" customWidth="1"/>
    <col min="3" max="3" width="37.33203125" bestFit="1" customWidth="1"/>
    <col min="4" max="4" width="21.88671875" customWidth="1"/>
    <col min="5" max="5" width="21.109375" customWidth="1"/>
    <col min="6" max="6" width="14.88671875" bestFit="1" customWidth="1"/>
  </cols>
  <sheetData>
    <row r="1" spans="1:6" ht="25.2" customHeight="1" x14ac:dyDescent="0.45">
      <c r="A1" s="27" t="s">
        <v>840</v>
      </c>
      <c r="B1" s="27"/>
      <c r="C1" s="51"/>
      <c r="D1" s="51"/>
    </row>
    <row r="2" spans="1:6" ht="43.2" x14ac:dyDescent="0.3">
      <c r="A2" s="59" t="s">
        <v>841</v>
      </c>
      <c r="B2" s="57" t="s">
        <v>849</v>
      </c>
      <c r="D2" s="62" t="s">
        <v>850</v>
      </c>
      <c r="E2" s="61" t="s">
        <v>852</v>
      </c>
      <c r="F2" s="61" t="s">
        <v>851</v>
      </c>
    </row>
    <row r="3" spans="1:6" x14ac:dyDescent="0.3">
      <c r="A3" s="58">
        <v>321872861</v>
      </c>
      <c r="B3" s="56">
        <v>2209817.88470553</v>
      </c>
      <c r="D3" s="26" t="s">
        <v>840</v>
      </c>
      <c r="E3" s="52">
        <f>GETPIVOTDATA("OUTWARD TRANSACTIONS",$A$2)/100000</f>
        <v>3218.7286100000001</v>
      </c>
      <c r="F3" s="63">
        <v>2209817.88470553</v>
      </c>
    </row>
    <row r="4" spans="1:6" x14ac:dyDescent="0.3">
      <c r="D4" s="26" t="s">
        <v>842</v>
      </c>
      <c r="E4" s="52">
        <f>GETPIVOTDATA("Outward Transactions",$A$8)/100000</f>
        <v>166.32062999999999</v>
      </c>
      <c r="F4" s="67">
        <v>10160092.619641725</v>
      </c>
    </row>
    <row r="5" spans="1:6" x14ac:dyDescent="0.3">
      <c r="D5" s="26" t="s">
        <v>845</v>
      </c>
      <c r="E5" s="52">
        <f>A14/100000</f>
        <v>3797.1</v>
      </c>
      <c r="F5" s="64">
        <v>320202.96999999997</v>
      </c>
    </row>
    <row r="6" spans="1:6" x14ac:dyDescent="0.3">
      <c r="D6" s="26" t="s">
        <v>848</v>
      </c>
      <c r="E6" s="66">
        <f>A19/100000</f>
        <v>35555.5</v>
      </c>
      <c r="F6" s="65">
        <v>639116.94999999995</v>
      </c>
    </row>
    <row r="7" spans="1:6" ht="23.4" x14ac:dyDescent="0.45">
      <c r="A7" s="53" t="s">
        <v>842</v>
      </c>
      <c r="B7" s="53"/>
      <c r="C7" s="51"/>
      <c r="D7" s="51"/>
    </row>
    <row r="8" spans="1:6" x14ac:dyDescent="0.3">
      <c r="A8" s="57" t="s">
        <v>843</v>
      </c>
      <c r="B8" s="57" t="s">
        <v>844</v>
      </c>
    </row>
    <row r="9" spans="1:6" x14ac:dyDescent="0.3">
      <c r="A9" s="58">
        <v>16632063</v>
      </c>
      <c r="B9" s="56">
        <v>10160092.619641725</v>
      </c>
    </row>
    <row r="12" spans="1:6" ht="23.4" x14ac:dyDescent="0.45">
      <c r="A12" s="53" t="s">
        <v>845</v>
      </c>
      <c r="B12" s="53"/>
      <c r="C12" s="51"/>
      <c r="D12" s="51"/>
    </row>
    <row r="13" spans="1:6" x14ac:dyDescent="0.3">
      <c r="A13" s="54" t="s">
        <v>846</v>
      </c>
      <c r="B13" s="54" t="s">
        <v>847</v>
      </c>
    </row>
    <row r="14" spans="1:6" x14ac:dyDescent="0.3">
      <c r="A14" s="55">
        <f>379.71*1000000</f>
        <v>379710000</v>
      </c>
      <c r="B14" s="56">
        <v>320202.96999999997</v>
      </c>
    </row>
    <row r="17" spans="1:2" ht="23.4" x14ac:dyDescent="0.45">
      <c r="A17" s="53" t="s">
        <v>848</v>
      </c>
      <c r="B17" s="53"/>
    </row>
    <row r="18" spans="1:2" x14ac:dyDescent="0.3">
      <c r="A18" s="54" t="s">
        <v>846</v>
      </c>
      <c r="B18" s="54" t="s">
        <v>847</v>
      </c>
    </row>
    <row r="19" spans="1:2" x14ac:dyDescent="0.3">
      <c r="A19" s="55">
        <f>3555.55*1000000</f>
        <v>3555550000</v>
      </c>
      <c r="B19" s="60">
        <v>639116.94999999995</v>
      </c>
    </row>
  </sheetData>
  <mergeCells count="4">
    <mergeCell ref="A12:B12"/>
    <mergeCell ref="A17:B17"/>
    <mergeCell ref="A1:B1"/>
    <mergeCell ref="A7:B7"/>
  </mergeCell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NEFT</vt:lpstr>
      <vt:lpstr>RTGS</vt:lpstr>
      <vt:lpstr>Mobile</vt:lpstr>
      <vt:lpstr>Aug'21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adish</cp:lastModifiedBy>
  <cp:lastPrinted>2021-09-07T07:30:29Z</cp:lastPrinted>
  <dcterms:created xsi:type="dcterms:W3CDTF">2021-09-05T17:45:01Z</dcterms:created>
  <dcterms:modified xsi:type="dcterms:W3CDTF">2022-10-11T17:09:56Z</dcterms:modified>
</cp:coreProperties>
</file>